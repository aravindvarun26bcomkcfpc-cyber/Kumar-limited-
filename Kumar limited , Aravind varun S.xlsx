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a3d7746afd9762/Desktop/sopu dabba/sai baba/"/>
    </mc:Choice>
  </mc:AlternateContent>
  <xr:revisionPtr revIDLastSave="142" documentId="13_ncr:1_{CBDA1243-2373-448F-A09F-8BA949B87F8A}" xr6:coauthVersionLast="47" xr6:coauthVersionMax="47" xr10:uidLastSave="{8FBE47DF-51B5-467E-ACE2-F3D79E39F07B}"/>
  <bookViews>
    <workbookView xWindow="-110" yWindow="-110" windowWidth="19420" windowHeight="11500" firstSheet="3" activeTab="7" xr2:uid="{7FE2E4B3-8654-4456-A06B-5010CCA9C96F}"/>
  </bookViews>
  <sheets>
    <sheet name="Transaction " sheetId="1" r:id="rId1"/>
    <sheet name="Journal" sheetId="2" r:id="rId2"/>
    <sheet name="Ledger" sheetId="3" r:id="rId3"/>
    <sheet name="Trial Balance" sheetId="4" r:id="rId4"/>
    <sheet name="Trading Account" sheetId="5" r:id="rId5"/>
    <sheet name="Profit &amp; Loss" sheetId="6" r:id="rId6"/>
    <sheet name="Balance Sheet" sheetId="7" r:id="rId7"/>
    <sheet name="Ratio Analysis" sheetId="8" r:id="rId8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39" i="8"/>
  <c r="B34" i="8"/>
  <c r="B35" i="8" s="1"/>
  <c r="B45" i="8"/>
  <c r="B44" i="8"/>
  <c r="B41" i="8"/>
  <c r="B28" i="8"/>
  <c r="B30" i="8" s="1"/>
  <c r="B25" i="8"/>
  <c r="B17" i="8"/>
  <c r="B19" i="8" s="1"/>
  <c r="B11" i="8"/>
  <c r="B13" i="8"/>
  <c r="B47" i="8" l="1"/>
  <c r="C13" i="5" l="1"/>
  <c r="F20" i="6"/>
  <c r="C20" i="6"/>
  <c r="C21" i="7"/>
  <c r="F11" i="7"/>
  <c r="F9" i="7"/>
  <c r="F7" i="7"/>
  <c r="C7" i="7"/>
  <c r="F7" i="6"/>
  <c r="F21" i="7" l="1"/>
  <c r="C14" i="6" l="1"/>
  <c r="C12" i="6"/>
  <c r="C8" i="6"/>
  <c r="F13" i="5"/>
  <c r="F6" i="5"/>
  <c r="C7" i="5"/>
  <c r="D187" i="3"/>
  <c r="D186" i="3"/>
  <c r="D69" i="3"/>
  <c r="H67" i="3" s="1"/>
  <c r="D70" i="3" s="1"/>
  <c r="H186" i="3" l="1"/>
  <c r="H69" i="3"/>
  <c r="C29" i="4"/>
  <c r="D226" i="3"/>
  <c r="H224" i="3" s="1"/>
  <c r="D218" i="3"/>
  <c r="H216" i="3" s="1"/>
  <c r="H210" i="3"/>
  <c r="D208" i="3"/>
  <c r="H211" i="3" s="1"/>
  <c r="D202" i="3"/>
  <c r="H200" i="3" s="1"/>
  <c r="D203" i="3" s="1"/>
  <c r="H194" i="3"/>
  <c r="D192" i="3"/>
  <c r="H195" i="3" s="1"/>
  <c r="D177" i="3"/>
  <c r="H175" i="3" s="1"/>
  <c r="D169" i="3"/>
  <c r="H167" i="3" s="1"/>
  <c r="D161" i="3"/>
  <c r="H159" i="3" s="1"/>
  <c r="D153" i="3"/>
  <c r="H151" i="3" s="1"/>
  <c r="D154" i="3" s="1"/>
  <c r="D145" i="3"/>
  <c r="H143" i="3" s="1"/>
  <c r="D137" i="3"/>
  <c r="H135" i="3" s="1"/>
  <c r="H129" i="3"/>
  <c r="D125" i="3" s="1"/>
  <c r="D117" i="3"/>
  <c r="D119" i="3" s="1"/>
  <c r="H119" i="3"/>
  <c r="D111" i="3"/>
  <c r="H109" i="3" s="1"/>
  <c r="D103" i="3"/>
  <c r="H101" i="3" s="1"/>
  <c r="D95" i="3"/>
  <c r="H93" i="3" s="1"/>
  <c r="H95" i="3" s="1"/>
  <c r="H88" i="3"/>
  <c r="D87" i="3"/>
  <c r="H87" i="3"/>
  <c r="D77" i="3"/>
  <c r="H75" i="3" s="1"/>
  <c r="D78" i="3" s="1"/>
  <c r="H62" i="3"/>
  <c r="D62" i="3"/>
  <c r="D53" i="3"/>
  <c r="H48" i="3" s="1"/>
  <c r="D43" i="3"/>
  <c r="D42" i="3"/>
  <c r="H42" i="3"/>
  <c r="D26" i="3"/>
  <c r="D25" i="3"/>
  <c r="H25" i="3"/>
  <c r="H8" i="3"/>
  <c r="D5" i="3" s="1"/>
  <c r="D8" i="3" s="1"/>
  <c r="F93" i="2"/>
  <c r="F90" i="2"/>
  <c r="F87" i="2"/>
  <c r="F84" i="2"/>
  <c r="F81" i="2"/>
  <c r="F78" i="2"/>
  <c r="F75" i="2"/>
  <c r="F72" i="2"/>
  <c r="F69" i="2"/>
  <c r="F66" i="2"/>
  <c r="F63" i="2"/>
  <c r="F60" i="2"/>
  <c r="F57" i="2"/>
  <c r="F54" i="2"/>
  <c r="F48" i="2"/>
  <c r="F45" i="2"/>
  <c r="F42" i="2"/>
  <c r="F39" i="2"/>
  <c r="F36" i="2"/>
  <c r="F33" i="2"/>
  <c r="F30" i="2"/>
  <c r="F27" i="2"/>
  <c r="F24" i="2"/>
  <c r="F21" i="2"/>
  <c r="F18" i="2"/>
  <c r="F15" i="2"/>
  <c r="F9" i="2"/>
  <c r="F6" i="2"/>
  <c r="D227" i="3" l="1"/>
  <c r="H226" i="3"/>
  <c r="H218" i="3"/>
  <c r="D219" i="3"/>
  <c r="H120" i="3"/>
  <c r="D210" i="3"/>
  <c r="H202" i="3"/>
  <c r="D194" i="3"/>
  <c r="D178" i="3"/>
  <c r="H177" i="3"/>
  <c r="D170" i="3"/>
  <c r="H169" i="3"/>
  <c r="H161" i="3"/>
  <c r="D162" i="3"/>
  <c r="H153" i="3"/>
  <c r="D146" i="3"/>
  <c r="H145" i="3"/>
  <c r="D138" i="3"/>
  <c r="H137" i="3"/>
  <c r="D129" i="3"/>
  <c r="H130" i="3"/>
  <c r="D112" i="3"/>
  <c r="H111" i="3"/>
  <c r="D104" i="3"/>
  <c r="H103" i="3"/>
  <c r="D96" i="3"/>
  <c r="H77" i="3"/>
  <c r="D54" i="3"/>
  <c r="H53" i="3"/>
  <c r="H9" i="3"/>
  <c r="D29" i="4"/>
</calcChain>
</file>

<file path=xl/sharedStrings.xml><?xml version="1.0" encoding="utf-8"?>
<sst xmlns="http://schemas.openxmlformats.org/spreadsheetml/2006/main" count="750" uniqueCount="295">
  <si>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</si>
  <si>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</si>
  <si>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</si>
  <si>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</si>
  <si>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</si>
  <si>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</si>
  <si>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</si>
  <si>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</si>
  <si>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</si>
  <si>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</si>
  <si>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</si>
  <si>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</si>
  <si>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</si>
  <si>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</si>
  <si>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</si>
  <si>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</si>
  <si>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</si>
  <si>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</si>
  <si>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</si>
  <si>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</si>
  <si>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</si>
  <si>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</si>
  <si>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</si>
  <si>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</si>
  <si>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</si>
  <si>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</si>
  <si>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</si>
  <si>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</si>
  <si>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</si>
  <si>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</si>
  <si>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</si>
  <si>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</si>
  <si>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</si>
  <si>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</si>
  <si>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</si>
  <si>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</si>
  <si>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</si>
  <si>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</si>
  <si>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</si>
  <si>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</si>
  <si>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</si>
  <si>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</si>
  <si>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</si>
  <si>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</si>
  <si>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</si>
  <si>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</si>
  <si>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</si>
  <si>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</si>
  <si>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</si>
  <si>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</si>
  <si>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</si>
  <si>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</si>
  <si>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</si>
  <si>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</si>
  <si>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</si>
  <si>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</si>
  <si>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</si>
  <si>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</si>
  <si>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</si>
  <si>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</si>
  <si>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</si>
  <si>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</si>
  <si>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</si>
  <si>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</si>
  <si>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</si>
  <si>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</si>
  <si>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</si>
  <si>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</si>
  <si>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</si>
  <si>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</si>
  <si>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</si>
  <si>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</si>
  <si>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</si>
  <si>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</si>
  <si>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</si>
  <si>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</si>
  <si>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</si>
  <si>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</si>
  <si>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</si>
  <si>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</si>
  <si>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</si>
  <si>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</si>
  <si>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</si>
  <si>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</si>
  <si>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</si>
  <si>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</si>
  <si>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</si>
  <si>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</si>
  <si>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</si>
  <si>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</si>
  <si>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</si>
  <si>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</si>
  <si>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</si>
  <si>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</si>
  <si>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</si>
  <si>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</si>
  <si>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</si>
  <si>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</si>
  <si>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</si>
  <si>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</si>
  <si>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</si>
  <si>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</si>
  <si>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</si>
  <si>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</si>
  <si>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</si>
  <si>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</si>
  <si>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</si>
  <si>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</si>
  <si>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</si>
  <si>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</si>
  <si>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</si>
  <si>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Dr.</t>
  </si>
  <si>
    <t>J.F</t>
  </si>
  <si>
    <t>Amount₹</t>
  </si>
  <si>
    <t>Cr.</t>
  </si>
  <si>
    <t>Capital A/c</t>
  </si>
  <si>
    <t>By Cash A/c</t>
  </si>
  <si>
    <t>By Bank A/c</t>
  </si>
  <si>
    <t>To Balance C/d</t>
  </si>
  <si>
    <t>By Balance B/d</t>
  </si>
  <si>
    <t>To Capital A/c</t>
  </si>
  <si>
    <t>By Purchase A/c</t>
  </si>
  <si>
    <t>By Verma suppliers A/c</t>
  </si>
  <si>
    <t>To Raj enterprises A/c</t>
  </si>
  <si>
    <t>By Wages A/c</t>
  </si>
  <si>
    <t>By Carriage inward A/c</t>
  </si>
  <si>
    <t>By Office expenses A/c</t>
  </si>
  <si>
    <t>By Stationery A/c</t>
  </si>
  <si>
    <t>To Sales A/c</t>
  </si>
  <si>
    <t>To Bank A/c</t>
  </si>
  <si>
    <t>By Carriage outward A/c</t>
  </si>
  <si>
    <t>By Balance C/d</t>
  </si>
  <si>
    <t>To Balance B/d</t>
  </si>
  <si>
    <t>By Furniture A/c</t>
  </si>
  <si>
    <t>To Cash A/c</t>
  </si>
  <si>
    <t>By Office rent A/c</t>
  </si>
  <si>
    <t>By Machinery A/c</t>
  </si>
  <si>
    <t>By Sharma Traders A/c</t>
  </si>
  <si>
    <t>To Kumar &amp; Co A/c</t>
  </si>
  <si>
    <t>By Electricity charges A/c</t>
  </si>
  <si>
    <t>To Received intrset A/c</t>
  </si>
  <si>
    <t>By Computer A/c</t>
  </si>
  <si>
    <t>By Inscurance Premium A/c</t>
  </si>
  <si>
    <t>To Gupta Traders A/c</t>
  </si>
  <si>
    <t>To Sharma Traders A/c</t>
  </si>
  <si>
    <t>To Purchase A/c</t>
  </si>
  <si>
    <t>To Purchase Returns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</si>
  <si>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</si>
  <si>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</si>
  <si>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</si>
  <si>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</si>
  <si>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</si>
  <si>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</si>
  <si>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</si>
  <si>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</si>
  <si>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</si>
  <si>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</si>
  <si>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Electricity Charges A/c</t>
  </si>
  <si>
    <t>Gupta Traders A/c</t>
  </si>
  <si>
    <t>Received Intrest A/c</t>
  </si>
  <si>
    <t>Inscurance Premium A/c</t>
  </si>
  <si>
    <t>S.No</t>
  </si>
  <si>
    <t>-</t>
  </si>
  <si>
    <t>Carriage Inwards A/c</t>
  </si>
  <si>
    <t>Carriage OutwardsA/c</t>
  </si>
  <si>
    <t>Received Intrset A/c</t>
  </si>
  <si>
    <t>Stationery A/c</t>
  </si>
  <si>
    <t>By Salaries A/c</t>
  </si>
  <si>
    <t>Total</t>
  </si>
  <si>
    <t>To Opening Stock</t>
  </si>
  <si>
    <t>Less:Purchase Returns</t>
  </si>
  <si>
    <t>To Direct expenses:</t>
  </si>
  <si>
    <t>To Wages A/c</t>
  </si>
  <si>
    <t>To Carriage Inward A/c</t>
  </si>
  <si>
    <t>By Sales A/c</t>
  </si>
  <si>
    <t>Less:Sales Returns</t>
  </si>
  <si>
    <t>By Closing Stock</t>
  </si>
  <si>
    <t>To Gross Profit C/d</t>
  </si>
  <si>
    <t>In the Books of Mr.Kumar Ltd. Preparation of Journal Entries for Month ended 31st January 2026.</t>
  </si>
  <si>
    <t>In the Books of Mr.Kumar Ltd. Preparation of Ledger for Month ended 31st January 2026.</t>
  </si>
  <si>
    <t>In the Books of Mr.Kumar Ltd. Preparation of Trading Account for Month ended 31st January 2026.</t>
  </si>
  <si>
    <t>In the Books of Mr.Kumar Ltd. Preparation of Profit &amp; Loss for Month ended 31st January 2026.</t>
  </si>
  <si>
    <t>To Stationery A/c</t>
  </si>
  <si>
    <t>To Office Expenses A/c</t>
  </si>
  <si>
    <t>To Salarise A/c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</si>
  <si>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</si>
  <si>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</si>
  <si>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</si>
  <si>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</si>
  <si>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</si>
  <si>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</si>
  <si>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</si>
  <si>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By Gross Profit B/d</t>
  </si>
  <si>
    <t>By Received Intrest A/c</t>
  </si>
  <si>
    <t>Furniture</t>
  </si>
  <si>
    <t>Machinery</t>
  </si>
  <si>
    <t>Computer</t>
  </si>
  <si>
    <t>Depreciation on Furniture 10% per annum</t>
  </si>
  <si>
    <t>Depreciation on Machinery 10% per annum</t>
  </si>
  <si>
    <t>Depreciation on Computer 10% per annum</t>
  </si>
  <si>
    <t>To Net Profit</t>
  </si>
  <si>
    <t xml:space="preserve">Add: Accured Intrest </t>
  </si>
  <si>
    <t>Liabilities</t>
  </si>
  <si>
    <t>Assets</t>
  </si>
  <si>
    <t>Current Liabilities:</t>
  </si>
  <si>
    <t>Current Assets:</t>
  </si>
  <si>
    <t>Fixed Liabilities:</t>
  </si>
  <si>
    <t>Fixed Assets:</t>
  </si>
  <si>
    <t>Capital</t>
  </si>
  <si>
    <t>Add:Net Profit</t>
  </si>
  <si>
    <t>Outstanding Salaries</t>
  </si>
  <si>
    <t>Outstanding Electricity Charges</t>
  </si>
  <si>
    <t>Accured Intrest</t>
  </si>
  <si>
    <t>Less:Depreciation 10% per annum</t>
  </si>
  <si>
    <t>Raj Enterprises(Creditors)</t>
  </si>
  <si>
    <t>Gupta Traders(Creditors)</t>
  </si>
  <si>
    <t>Cash</t>
  </si>
  <si>
    <t>Bank</t>
  </si>
  <si>
    <t>Verma Suppliers(Debtors)</t>
  </si>
  <si>
    <t>Kumar &amp; Co (Debtors)</t>
  </si>
  <si>
    <t xml:space="preserve">Prepaid Inscurance </t>
  </si>
  <si>
    <t>Closing Stock</t>
  </si>
  <si>
    <t>In the Books of Mr.Kumar Ltd. Preparation of Balance sheet for Month ended 31st January 2026.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</si>
  <si>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</si>
  <si>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</si>
  <si>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</si>
  <si>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</si>
  <si>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</si>
  <si>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</si>
  <si>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</si>
  <si>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</si>
  <si>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</si>
  <si>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</si>
  <si>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</si>
  <si>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</si>
  <si>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</si>
  <si>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</si>
  <si>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</si>
  <si>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</si>
  <si>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</si>
  <si>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</si>
  <si>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</si>
  <si>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</si>
  <si>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</si>
  <si>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</si>
  <si>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</si>
  <si>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</si>
  <si>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</si>
  <si>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</si>
  <si>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</si>
  <si>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</si>
  <si>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</si>
  <si>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</si>
  <si>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</si>
  <si>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</si>
  <si>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</si>
  <si>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</si>
  <si>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</si>
  <si>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</si>
  <si>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</si>
  <si>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</si>
  <si>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</si>
  <si>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</si>
  <si>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</si>
  <si>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</si>
  <si>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</si>
  <si>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</si>
  <si>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</si>
  <si>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</si>
  <si>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</si>
  <si>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</si>
  <si>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</si>
  <si>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</si>
  <si>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</si>
  <si>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</si>
  <si>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</si>
  <si>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</si>
  <si>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</si>
  <si>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</si>
  <si>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</si>
  <si>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</si>
  <si>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</si>
  <si>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</si>
  <si>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</si>
  <si>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</si>
  <si>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</si>
  <si>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</si>
  <si>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</si>
  <si>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</si>
  <si>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</si>
  <si>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</si>
  <si>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</si>
  <si>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</si>
  <si>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</si>
  <si>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 xml:space="preserve">In the Books of Mr.Kumar Ltd. Preparation of Trial Balance for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</si>
</sst>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i/>
      <sz val="11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17" fontId="0" fillId="0" borderId="0" xfId="0" applyNumberFormat="1"/>
    <xf numFmtId="3" fontId="0" fillId="0" borderId="0" xfId="0" applyNumberFormat="1"/>
    <xf numFmtId="0" fontId="4" fillId="0" borderId="0" xfId="0" applyFont="1"/>
    <xf numFmtId="164" fontId="4" fillId="0" borderId="0" xfId="1" applyNumberFormat="1" applyFont="1"/>
    <xf numFmtId="164" fontId="0" fillId="0" borderId="0" xfId="1" applyNumberFormat="1" applyFont="1"/>
    <xf numFmtId="164" fontId="0" fillId="0" borderId="0" xfId="1" applyNumberFormat="1" applyFont="1" applyBorder="1"/>
    <xf numFmtId="0" fontId="0" fillId="0" borderId="3" xfId="0" applyBorder="1"/>
    <xf numFmtId="0" fontId="0" fillId="0" borderId="4" xfId="0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0" fontId="0" fillId="0" borderId="1" xfId="0" applyBorder="1"/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right"/>
    </xf>
    <xf numFmtId="14" fontId="0" fillId="0" borderId="1" xfId="0" applyNumberForma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164" fontId="1" fillId="0" borderId="1" xfId="1" applyNumberFormat="1" applyFont="1" applyBorder="1"/>
    <xf numFmtId="164" fontId="0" fillId="0" borderId="0" xfId="0" applyNumberFormat="1"/>
    <xf numFmtId="14" fontId="2" fillId="0" borderId="1" xfId="0" applyNumberFormat="1" applyFont="1" applyBorder="1"/>
    <xf numFmtId="14" fontId="0" fillId="0" borderId="0" xfId="0" applyNumberFormat="1"/>
    <xf numFmtId="164" fontId="1" fillId="0" borderId="0" xfId="1" applyNumberFormat="1" applyFont="1" applyBorder="1"/>
    <xf numFmtId="164" fontId="2" fillId="0" borderId="0" xfId="1" applyNumberFormat="1" applyFont="1" applyBorder="1"/>
    <xf numFmtId="164" fontId="0" fillId="0" borderId="11" xfId="1" applyNumberFormat="1" applyFont="1" applyBorder="1"/>
    <xf numFmtId="0" fontId="2" fillId="0" borderId="1" xfId="0" applyFont="1" applyBorder="1" applyAlignment="1">
      <alignment horizontal="center"/>
    </xf>
    <xf numFmtId="164" fontId="0" fillId="0" borderId="12" xfId="1" applyNumberFormat="1" applyFont="1" applyBorder="1"/>
    <xf numFmtId="0" fontId="5" fillId="0" borderId="0" xfId="0" applyFont="1"/>
    <xf numFmtId="164" fontId="5" fillId="0" borderId="0" xfId="1" applyNumberFormat="1" applyFont="1"/>
    <xf numFmtId="0" fontId="5" fillId="2" borderId="1" xfId="0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10" fillId="0" borderId="0" xfId="0" applyFont="1"/>
    <xf numFmtId="164" fontId="10" fillId="0" borderId="0" xfId="1" applyNumberFormat="1" applyFont="1"/>
    <xf numFmtId="0" fontId="5" fillId="2" borderId="6" xfId="0" applyFont="1" applyFill="1" applyBorder="1" applyAlignment="1">
      <alignment horizontal="center"/>
    </xf>
    <xf numFmtId="164" fontId="5" fillId="2" borderId="7" xfId="1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3" borderId="9" xfId="0" applyFont="1" applyFill="1" applyBorder="1"/>
    <xf numFmtId="0" fontId="8" fillId="3" borderId="13" xfId="0" applyFont="1" applyFill="1" applyBorder="1"/>
    <xf numFmtId="0" fontId="8" fillId="3" borderId="8" xfId="0" applyFont="1" applyFill="1" applyBorder="1"/>
    <xf numFmtId="0" fontId="7" fillId="3" borderId="8" xfId="0" applyFont="1" applyFill="1" applyBorder="1"/>
    <xf numFmtId="0" fontId="7" fillId="3" borderId="13" xfId="0" applyFont="1" applyFill="1" applyBorder="1" applyAlignment="1">
      <alignment horizontal="right"/>
    </xf>
    <xf numFmtId="164" fontId="7" fillId="3" borderId="8" xfId="1" applyNumberFormat="1" applyFont="1" applyFill="1" applyBorder="1"/>
    <xf numFmtId="0" fontId="7" fillId="3" borderId="8" xfId="0" applyFont="1" applyFill="1" applyBorder="1" applyAlignment="1">
      <alignment wrapText="1"/>
    </xf>
    <xf numFmtId="43" fontId="8" fillId="3" borderId="8" xfId="1" applyFont="1" applyFill="1" applyBorder="1"/>
    <xf numFmtId="0" fontId="7" fillId="3" borderId="1" xfId="0" applyFont="1" applyFill="1" applyBorder="1"/>
    <xf numFmtId="164" fontId="7" fillId="3" borderId="1" xfId="1" applyNumberFormat="1" applyFont="1" applyFill="1" applyBorder="1"/>
    <xf numFmtId="164" fontId="8" fillId="3" borderId="8" xfId="1" applyNumberFormat="1" applyFont="1" applyFill="1" applyBorder="1" applyAlignment="1">
      <alignment wrapText="1"/>
    </xf>
    <xf numFmtId="0" fontId="7" fillId="3" borderId="13" xfId="0" applyFont="1" applyFill="1" applyBorder="1"/>
    <xf numFmtId="43" fontId="7" fillId="3" borderId="1" xfId="1" applyFont="1" applyFill="1" applyBorder="1"/>
    <xf numFmtId="164" fontId="8" fillId="3" borderId="8" xfId="1" applyNumberFormat="1" applyFont="1" applyFill="1" applyBorder="1"/>
    <xf numFmtId="0" fontId="7" fillId="3" borderId="1" xfId="0" applyFont="1" applyFill="1" applyBorder="1" applyAlignment="1">
      <alignment horizontal="right"/>
    </xf>
    <xf numFmtId="0" fontId="8" fillId="3" borderId="13" xfId="0" applyFont="1" applyFill="1" applyBorder="1" applyAlignment="1">
      <alignment horizontal="left"/>
    </xf>
    <xf numFmtId="165" fontId="8" fillId="3" borderId="8" xfId="1" applyNumberFormat="1" applyFont="1" applyFill="1" applyBorder="1"/>
    <xf numFmtId="0" fontId="7" fillId="3" borderId="1" xfId="0" applyFont="1" applyFill="1" applyBorder="1" applyAlignment="1">
      <alignment horizontal="left"/>
    </xf>
    <xf numFmtId="166" fontId="8" fillId="3" borderId="8" xfId="1" applyNumberFormat="1" applyFont="1" applyFill="1" applyBorder="1"/>
    <xf numFmtId="164" fontId="8" fillId="3" borderId="8" xfId="1" applyNumberFormat="1" applyFont="1" applyFill="1" applyBorder="1" applyAlignment="1"/>
    <xf numFmtId="0" fontId="7" fillId="3" borderId="14" xfId="0" applyFont="1" applyFill="1" applyBorder="1" applyAlignment="1">
      <alignment horizontal="right"/>
    </xf>
    <xf numFmtId="166" fontId="8" fillId="3" borderId="9" xfId="1" applyNumberFormat="1" applyFont="1" applyFill="1" applyBorder="1"/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BF3A-CF53-47C8-B157-E358B837E485}">
  <dimension ref="A1:C49"/>
  <sheetViews>
    <sheetView topLeftCell="A5" workbookViewId="0">
      <selection activeCell="B46" sqref="B46"/>
    </sheetView>
  </sheetViews>
  <sheetFormatPr defaultRowHeight="14.5" x14ac:dyDescent="0.35"/>
  <cols>
    <col min="1" max="1" width="8.453125" customWidth="1"/>
    <col min="2" max="2" width="66.90625" customWidth="1"/>
    <col min="3" max="3" width="9.6328125" bestFit="1" customWidth="1"/>
  </cols>
  <sheetData>
    <row r="1" spans="1:3" ht="33.65" customHeight="1" x14ac:dyDescent="0.35">
      <c r="A1" s="65" t="s">
        <v>0</v>
      </c>
      <c r="B1" s="65"/>
      <c r="C1" s="65"/>
    </row>
    <row r="2" spans="1:3" x14ac:dyDescent="0.35">
      <c r="A2" s="64" t="s">
        <v>1</v>
      </c>
      <c r="B2" s="64"/>
    </row>
    <row r="3" spans="1:3" x14ac:dyDescent="0.35">
      <c r="A3" s="64" t="s">
        <v>2</v>
      </c>
      <c r="B3" s="64"/>
    </row>
    <row r="4" spans="1:3" x14ac:dyDescent="0.35">
      <c r="A4" s="64" t="s">
        <v>3</v>
      </c>
      <c r="B4" s="64"/>
    </row>
    <row r="5" spans="1:3" x14ac:dyDescent="0.35">
      <c r="A5" s="64" t="s">
        <v>4</v>
      </c>
      <c r="B5" s="64"/>
    </row>
    <row r="6" spans="1:3" x14ac:dyDescent="0.35">
      <c r="A6" s="64" t="s">
        <v>5</v>
      </c>
      <c r="B6" s="64"/>
    </row>
    <row r="7" spans="1:3" x14ac:dyDescent="0.35">
      <c r="A7" s="64" t="s">
        <v>6</v>
      </c>
      <c r="B7" s="64"/>
    </row>
    <row r="8" spans="1:3" x14ac:dyDescent="0.35">
      <c r="A8" s="64" t="s">
        <v>7</v>
      </c>
      <c r="B8" s="64"/>
    </row>
    <row r="10" spans="1:3" x14ac:dyDescent="0.35">
      <c r="B10" t="s">
        <v>8</v>
      </c>
    </row>
    <row r="11" spans="1:3" x14ac:dyDescent="0.35">
      <c r="A11" t="s">
        <v>9</v>
      </c>
      <c r="B11" t="s">
        <v>10</v>
      </c>
      <c r="C11" t="s">
        <v>11</v>
      </c>
    </row>
    <row r="12" spans="1:3" x14ac:dyDescent="0.35">
      <c r="A12" s="1">
        <v>36892</v>
      </c>
      <c r="B12" t="s">
        <v>12</v>
      </c>
      <c r="C12" s="2">
        <v>6500000</v>
      </c>
    </row>
    <row r="13" spans="1:3" x14ac:dyDescent="0.35">
      <c r="A13" s="1">
        <v>37257</v>
      </c>
      <c r="B13" t="s">
        <v>13</v>
      </c>
      <c r="C13" s="2">
        <v>250000</v>
      </c>
    </row>
    <row r="14" spans="1:3" x14ac:dyDescent="0.35">
      <c r="A14" s="1">
        <v>37622</v>
      </c>
      <c r="B14" t="s">
        <v>14</v>
      </c>
      <c r="C14" s="2">
        <v>25000</v>
      </c>
    </row>
    <row r="15" spans="1:3" x14ac:dyDescent="0.35">
      <c r="A15" s="1">
        <v>37987</v>
      </c>
      <c r="B15" t="s">
        <v>15</v>
      </c>
      <c r="C15" s="2">
        <v>55000</v>
      </c>
    </row>
    <row r="16" spans="1:3" x14ac:dyDescent="0.35">
      <c r="A16" s="1">
        <v>38353</v>
      </c>
      <c r="B16" t="s">
        <v>16</v>
      </c>
      <c r="C16" s="2">
        <v>120000</v>
      </c>
    </row>
    <row r="17" spans="1:3" x14ac:dyDescent="0.35">
      <c r="A17" s="1">
        <v>38718</v>
      </c>
      <c r="B17" t="s">
        <v>17</v>
      </c>
      <c r="C17" s="2">
        <v>42000</v>
      </c>
    </row>
    <row r="18" spans="1:3" x14ac:dyDescent="0.35">
      <c r="A18" s="1">
        <v>39083</v>
      </c>
      <c r="B18" t="s">
        <v>18</v>
      </c>
      <c r="C18" s="2">
        <v>20000</v>
      </c>
    </row>
    <row r="19" spans="1:3" x14ac:dyDescent="0.35">
      <c r="A19" s="1">
        <v>39448</v>
      </c>
      <c r="B19" t="s">
        <v>19</v>
      </c>
      <c r="C19" s="2">
        <v>10000</v>
      </c>
    </row>
    <row r="20" spans="1:3" x14ac:dyDescent="0.35">
      <c r="A20" s="1">
        <v>39814</v>
      </c>
      <c r="B20" t="s">
        <v>20</v>
      </c>
      <c r="C20" s="2">
        <v>30000</v>
      </c>
    </row>
    <row r="21" spans="1:3" x14ac:dyDescent="0.35">
      <c r="A21" s="1">
        <v>40179</v>
      </c>
      <c r="B21" t="s">
        <v>21</v>
      </c>
      <c r="C21" s="2">
        <v>300000</v>
      </c>
    </row>
    <row r="22" spans="1:3" x14ac:dyDescent="0.35">
      <c r="A22" s="1">
        <v>40544</v>
      </c>
      <c r="B22" t="s">
        <v>22</v>
      </c>
      <c r="C22" s="2">
        <v>15000</v>
      </c>
    </row>
    <row r="23" spans="1:3" x14ac:dyDescent="0.35">
      <c r="A23" s="1">
        <v>40909</v>
      </c>
      <c r="B23" t="s">
        <v>23</v>
      </c>
      <c r="C23" s="2">
        <v>50000</v>
      </c>
    </row>
    <row r="24" spans="1:3" x14ac:dyDescent="0.35">
      <c r="A24" s="1">
        <v>41275</v>
      </c>
      <c r="B24" t="s">
        <v>24</v>
      </c>
      <c r="C24" s="2">
        <v>5000</v>
      </c>
    </row>
    <row r="25" spans="1:3" x14ac:dyDescent="0.35">
      <c r="A25" s="1">
        <v>41640</v>
      </c>
      <c r="B25" t="s">
        <v>25</v>
      </c>
      <c r="C25" s="2">
        <v>200000</v>
      </c>
    </row>
    <row r="26" spans="1:3" x14ac:dyDescent="0.35">
      <c r="A26" s="1">
        <v>42005</v>
      </c>
      <c r="B26" t="s">
        <v>26</v>
      </c>
      <c r="C26" s="2">
        <v>80000</v>
      </c>
    </row>
    <row r="27" spans="1:3" x14ac:dyDescent="0.35">
      <c r="A27" s="1">
        <v>42370</v>
      </c>
      <c r="B27" t="s">
        <v>14</v>
      </c>
      <c r="C27" s="2">
        <v>100000</v>
      </c>
    </row>
    <row r="28" spans="1:3" x14ac:dyDescent="0.35">
      <c r="A28" s="1">
        <v>42736</v>
      </c>
      <c r="B28" t="s">
        <v>27</v>
      </c>
      <c r="C28" s="2">
        <v>25000</v>
      </c>
    </row>
    <row r="29" spans="1:3" x14ac:dyDescent="0.35">
      <c r="A29" s="1">
        <v>43101</v>
      </c>
      <c r="B29" t="s">
        <v>28</v>
      </c>
      <c r="C29" s="2">
        <v>30000</v>
      </c>
    </row>
    <row r="30" spans="1:3" x14ac:dyDescent="0.35">
      <c r="A30" s="1">
        <v>43466</v>
      </c>
      <c r="B30" t="s">
        <v>29</v>
      </c>
      <c r="C30" s="2">
        <v>50000</v>
      </c>
    </row>
    <row r="31" spans="1:3" x14ac:dyDescent="0.35">
      <c r="A31" s="1">
        <v>43831</v>
      </c>
      <c r="B31" t="s">
        <v>30</v>
      </c>
      <c r="C31" s="2">
        <v>250000</v>
      </c>
    </row>
    <row r="32" spans="1:3" x14ac:dyDescent="0.35">
      <c r="A32" s="1">
        <v>44197</v>
      </c>
      <c r="B32" t="s">
        <v>31</v>
      </c>
      <c r="C32" s="2">
        <v>213000</v>
      </c>
    </row>
    <row r="33" spans="1:3" x14ac:dyDescent="0.35">
      <c r="A33" s="1">
        <v>44562</v>
      </c>
      <c r="B33" t="s">
        <v>32</v>
      </c>
      <c r="C33" s="2">
        <v>220000</v>
      </c>
    </row>
    <row r="34" spans="1:3" x14ac:dyDescent="0.35">
      <c r="A34" s="1">
        <v>44927</v>
      </c>
      <c r="B34" t="s">
        <v>33</v>
      </c>
      <c r="C34" s="2">
        <v>8000</v>
      </c>
    </row>
    <row r="35" spans="1:3" x14ac:dyDescent="0.35">
      <c r="A35" s="1">
        <v>45292</v>
      </c>
      <c r="B35" t="s">
        <v>34</v>
      </c>
      <c r="C35" s="2">
        <v>280000</v>
      </c>
    </row>
    <row r="36" spans="1:3" x14ac:dyDescent="0.35">
      <c r="A36" s="1">
        <v>45658</v>
      </c>
      <c r="B36" t="s">
        <v>35</v>
      </c>
      <c r="C36" s="2">
        <v>300000</v>
      </c>
    </row>
    <row r="37" spans="1:3" x14ac:dyDescent="0.35">
      <c r="A37" s="1">
        <v>46023</v>
      </c>
      <c r="B37" t="s">
        <v>36</v>
      </c>
      <c r="C37" s="2">
        <v>175000</v>
      </c>
    </row>
    <row r="38" spans="1:3" x14ac:dyDescent="0.35">
      <c r="A38" s="1">
        <v>46388</v>
      </c>
      <c r="B38" t="s">
        <v>37</v>
      </c>
      <c r="C38" s="2">
        <v>8000</v>
      </c>
    </row>
    <row r="39" spans="1:3" x14ac:dyDescent="0.35">
      <c r="A39" s="1">
        <v>46753</v>
      </c>
      <c r="B39" t="s">
        <v>38</v>
      </c>
      <c r="C39" s="2">
        <v>20000</v>
      </c>
    </row>
    <row r="40" spans="1:3" x14ac:dyDescent="0.35">
      <c r="A40" s="1">
        <v>47119</v>
      </c>
      <c r="B40" t="s">
        <v>39</v>
      </c>
      <c r="C40" s="2">
        <v>60000</v>
      </c>
    </row>
    <row r="41" spans="1:3" x14ac:dyDescent="0.35">
      <c r="A41" s="1">
        <v>47484</v>
      </c>
      <c r="B41" t="s">
        <v>40</v>
      </c>
      <c r="C41" s="2">
        <v>12000</v>
      </c>
    </row>
    <row r="43" spans="1:3" x14ac:dyDescent="0.35">
      <c r="A43" t="s">
        <v>41</v>
      </c>
    </row>
    <row r="44" spans="1:3" x14ac:dyDescent="0.35">
      <c r="A44" t="s">
        <v>42</v>
      </c>
    </row>
    <row r="45" spans="1:3" x14ac:dyDescent="0.35">
      <c r="A45" t="s">
        <v>43</v>
      </c>
    </row>
    <row r="46" spans="1:3" x14ac:dyDescent="0.35">
      <c r="A46" t="s">
        <v>44</v>
      </c>
    </row>
    <row r="47" spans="1:3" x14ac:dyDescent="0.35">
      <c r="A47" t="s">
        <v>45</v>
      </c>
    </row>
    <row r="48" spans="1:3" x14ac:dyDescent="0.35">
      <c r="A48" t="s">
        <v>46</v>
      </c>
    </row>
    <row r="49" spans="1:1" x14ac:dyDescent="0.35">
      <c r="A49" t="s">
        <v>47</v>
      </c>
    </row>
  </sheetData>
  <mergeCells count="8">
    <mergeCell ref="A6:B6"/>
    <mergeCell ref="A7:B7"/>
    <mergeCell ref="A8:B8"/>
    <mergeCell ref="A1:C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DD5B-21DB-4E73-A2D4-71ACE479AF12}">
  <dimension ref="A1:F94"/>
  <sheetViews>
    <sheetView workbookViewId="0">
      <selection activeCell="I11" sqref="I11"/>
    </sheetView>
  </sheetViews>
  <sheetFormatPr defaultRowHeight="14.5" x14ac:dyDescent="0.35"/>
  <cols>
    <col min="1" max="1" width="11.6328125" customWidth="1"/>
    <col min="2" max="2" width="57.36328125" customWidth="1"/>
    <col min="3" max="4" width="5.36328125" customWidth="1"/>
    <col min="5" max="5" width="13.26953125" style="5" customWidth="1"/>
    <col min="6" max="6" width="12.36328125" style="5" customWidth="1"/>
  </cols>
  <sheetData>
    <row r="1" spans="1:6" ht="16" x14ac:dyDescent="0.4">
      <c r="A1" s="66" t="s">
        <v>178</v>
      </c>
      <c r="B1" s="66"/>
      <c r="C1" s="66"/>
      <c r="D1" s="66"/>
      <c r="E1" s="66"/>
      <c r="F1" s="66"/>
    </row>
    <row r="2" spans="1:6" x14ac:dyDescent="0.35">
      <c r="A2" s="3"/>
      <c r="B2" s="3"/>
      <c r="C2" s="3"/>
      <c r="D2" s="3"/>
      <c r="E2" s="4"/>
      <c r="F2" s="4"/>
    </row>
    <row r="3" spans="1:6" ht="15.5" x14ac:dyDescent="0.35">
      <c r="A3" s="33" t="s">
        <v>9</v>
      </c>
      <c r="B3" s="33" t="s">
        <v>10</v>
      </c>
      <c r="C3" s="33"/>
      <c r="D3" s="33" t="s">
        <v>48</v>
      </c>
      <c r="E3" s="34" t="s">
        <v>49</v>
      </c>
      <c r="F3" s="34" t="s">
        <v>50</v>
      </c>
    </row>
    <row r="4" spans="1:6" x14ac:dyDescent="0.35">
      <c r="A4" s="18">
        <v>46023</v>
      </c>
      <c r="B4" s="15" t="s">
        <v>51</v>
      </c>
      <c r="C4" s="15" t="s">
        <v>52</v>
      </c>
      <c r="D4" s="15"/>
      <c r="E4" s="19">
        <v>3250000</v>
      </c>
      <c r="F4" s="19"/>
    </row>
    <row r="5" spans="1:6" x14ac:dyDescent="0.35">
      <c r="A5" s="15"/>
      <c r="B5" s="15" t="s">
        <v>53</v>
      </c>
      <c r="C5" s="15" t="s">
        <v>52</v>
      </c>
      <c r="D5" s="15"/>
      <c r="E5" s="19">
        <v>3250000</v>
      </c>
      <c r="F5" s="19"/>
    </row>
    <row r="6" spans="1:6" x14ac:dyDescent="0.35">
      <c r="A6" s="15"/>
      <c r="B6" s="15" t="s">
        <v>54</v>
      </c>
      <c r="C6" s="15"/>
      <c r="D6" s="15"/>
      <c r="E6" s="19"/>
      <c r="F6" s="19">
        <f>E4+E5</f>
        <v>6500000</v>
      </c>
    </row>
    <row r="7" spans="1:6" x14ac:dyDescent="0.35">
      <c r="A7" s="15"/>
      <c r="B7" s="15" t="s">
        <v>55</v>
      </c>
      <c r="C7" s="15"/>
      <c r="D7" s="15"/>
      <c r="E7" s="19"/>
      <c r="F7" s="19"/>
    </row>
    <row r="8" spans="1:6" x14ac:dyDescent="0.35">
      <c r="A8" s="18">
        <v>46024</v>
      </c>
      <c r="B8" s="15" t="s">
        <v>56</v>
      </c>
      <c r="C8" s="15" t="s">
        <v>52</v>
      </c>
      <c r="D8" s="15"/>
      <c r="E8" s="19">
        <v>250000</v>
      </c>
      <c r="F8" s="19"/>
    </row>
    <row r="9" spans="1:6" x14ac:dyDescent="0.35">
      <c r="A9" s="15"/>
      <c r="B9" s="15" t="s">
        <v>57</v>
      </c>
      <c r="C9" s="15"/>
      <c r="D9" s="15"/>
      <c r="E9" s="19"/>
      <c r="F9" s="19">
        <f>E8</f>
        <v>250000</v>
      </c>
    </row>
    <row r="10" spans="1:6" x14ac:dyDescent="0.35">
      <c r="A10" s="15"/>
      <c r="B10" s="15" t="s">
        <v>58</v>
      </c>
      <c r="C10" s="15"/>
      <c r="D10" s="15"/>
      <c r="E10" s="19"/>
      <c r="F10" s="19"/>
    </row>
    <row r="11" spans="1:6" x14ac:dyDescent="0.35">
      <c r="A11" s="18">
        <v>46025</v>
      </c>
      <c r="B11" s="15" t="s">
        <v>56</v>
      </c>
      <c r="C11" s="15" t="s">
        <v>52</v>
      </c>
      <c r="D11" s="15"/>
      <c r="E11" s="19">
        <v>25000</v>
      </c>
      <c r="F11" s="19"/>
    </row>
    <row r="12" spans="1:6" x14ac:dyDescent="0.35">
      <c r="A12" s="15"/>
      <c r="B12" s="15" t="s">
        <v>59</v>
      </c>
      <c r="C12" s="15"/>
      <c r="D12" s="15"/>
      <c r="E12" s="19"/>
      <c r="F12" s="19">
        <v>25000</v>
      </c>
    </row>
    <row r="13" spans="1:6" x14ac:dyDescent="0.35">
      <c r="A13" s="15"/>
      <c r="B13" s="15" t="s">
        <v>60</v>
      </c>
      <c r="C13" s="15"/>
      <c r="D13" s="15"/>
      <c r="E13" s="19"/>
      <c r="F13" s="19"/>
    </row>
    <row r="14" spans="1:6" x14ac:dyDescent="0.35">
      <c r="A14" s="18">
        <v>46026</v>
      </c>
      <c r="B14" s="15" t="s">
        <v>61</v>
      </c>
      <c r="C14" s="15" t="s">
        <v>52</v>
      </c>
      <c r="D14" s="15"/>
      <c r="E14" s="19">
        <v>55000</v>
      </c>
      <c r="F14" s="19"/>
    </row>
    <row r="15" spans="1:6" x14ac:dyDescent="0.35">
      <c r="A15" s="15"/>
      <c r="B15" s="15" t="s">
        <v>59</v>
      </c>
      <c r="C15" s="15"/>
      <c r="D15" s="15"/>
      <c r="E15" s="19"/>
      <c r="F15" s="19">
        <f>E14</f>
        <v>55000</v>
      </c>
    </row>
    <row r="16" spans="1:6" x14ac:dyDescent="0.35">
      <c r="A16" s="15"/>
      <c r="B16" s="15" t="s">
        <v>62</v>
      </c>
      <c r="C16" s="15"/>
      <c r="D16" s="15"/>
      <c r="E16" s="19"/>
      <c r="F16" s="19"/>
    </row>
    <row r="17" spans="1:6" x14ac:dyDescent="0.35">
      <c r="A17" s="18">
        <v>46027</v>
      </c>
      <c r="B17" s="15" t="s">
        <v>51</v>
      </c>
      <c r="C17" s="15" t="s">
        <v>52</v>
      </c>
      <c r="D17" s="15"/>
      <c r="E17" s="19">
        <v>120000</v>
      </c>
      <c r="F17" s="19"/>
    </row>
    <row r="18" spans="1:6" x14ac:dyDescent="0.35">
      <c r="A18" s="15"/>
      <c r="B18" s="15" t="s">
        <v>63</v>
      </c>
      <c r="C18" s="15"/>
      <c r="D18" s="15"/>
      <c r="E18" s="19"/>
      <c r="F18" s="19">
        <f>E17</f>
        <v>120000</v>
      </c>
    </row>
    <row r="19" spans="1:6" x14ac:dyDescent="0.35">
      <c r="A19" s="15"/>
      <c r="B19" s="15" t="s">
        <v>64</v>
      </c>
      <c r="C19" s="15"/>
      <c r="D19" s="15"/>
      <c r="E19" s="19"/>
      <c r="F19" s="19"/>
    </row>
    <row r="20" spans="1:6" x14ac:dyDescent="0.35">
      <c r="A20" s="18">
        <v>46028</v>
      </c>
      <c r="B20" s="15" t="s">
        <v>65</v>
      </c>
      <c r="C20" s="15" t="s">
        <v>52</v>
      </c>
      <c r="D20" s="15"/>
      <c r="E20" s="19">
        <v>42000</v>
      </c>
      <c r="F20" s="19"/>
    </row>
    <row r="21" spans="1:6" x14ac:dyDescent="0.35">
      <c r="A21" s="15"/>
      <c r="B21" s="15" t="s">
        <v>66</v>
      </c>
      <c r="C21" s="15"/>
      <c r="D21" s="15"/>
      <c r="E21" s="19"/>
      <c r="F21" s="19">
        <f>E20</f>
        <v>42000</v>
      </c>
    </row>
    <row r="22" spans="1:6" x14ac:dyDescent="0.35">
      <c r="A22" s="15"/>
      <c r="B22" s="15" t="s">
        <v>67</v>
      </c>
      <c r="C22" s="15"/>
      <c r="D22" s="15"/>
      <c r="E22" s="19"/>
      <c r="F22" s="19"/>
    </row>
    <row r="23" spans="1:6" x14ac:dyDescent="0.35">
      <c r="A23" s="18">
        <v>46029</v>
      </c>
      <c r="B23" s="15" t="s">
        <v>68</v>
      </c>
      <c r="C23" s="15" t="s">
        <v>52</v>
      </c>
      <c r="D23" s="15"/>
      <c r="E23" s="19">
        <v>20000</v>
      </c>
      <c r="F23" s="19"/>
    </row>
    <row r="24" spans="1:6" x14ac:dyDescent="0.35">
      <c r="A24" s="15"/>
      <c r="B24" s="15" t="s">
        <v>59</v>
      </c>
      <c r="C24" s="15"/>
      <c r="D24" s="15"/>
      <c r="E24" s="19"/>
      <c r="F24" s="19">
        <f>E23</f>
        <v>20000</v>
      </c>
    </row>
    <row r="25" spans="1:6" x14ac:dyDescent="0.35">
      <c r="A25" s="15"/>
      <c r="B25" s="15" t="s">
        <v>69</v>
      </c>
      <c r="C25" s="15"/>
      <c r="D25" s="15"/>
      <c r="E25" s="19"/>
      <c r="F25" s="19"/>
    </row>
    <row r="26" spans="1:6" x14ac:dyDescent="0.35">
      <c r="A26" s="18">
        <v>46030</v>
      </c>
      <c r="B26" s="15" t="s">
        <v>70</v>
      </c>
      <c r="C26" s="15" t="s">
        <v>52</v>
      </c>
      <c r="D26" s="15"/>
      <c r="E26" s="19">
        <v>10000</v>
      </c>
      <c r="F26" s="19"/>
    </row>
    <row r="27" spans="1:6" x14ac:dyDescent="0.35">
      <c r="A27" s="15"/>
      <c r="B27" s="15" t="s">
        <v>59</v>
      </c>
      <c r="C27" s="15"/>
      <c r="D27" s="15"/>
      <c r="E27" s="19"/>
      <c r="F27" s="19">
        <f>E26</f>
        <v>10000</v>
      </c>
    </row>
    <row r="28" spans="1:6" x14ac:dyDescent="0.35">
      <c r="A28" s="15"/>
      <c r="B28" s="15" t="s">
        <v>71</v>
      </c>
      <c r="C28" s="15"/>
      <c r="D28" s="15"/>
      <c r="E28" s="19"/>
      <c r="F28" s="19"/>
    </row>
    <row r="29" spans="1:6" x14ac:dyDescent="0.35">
      <c r="A29" s="18">
        <v>46031</v>
      </c>
      <c r="B29" s="15" t="s">
        <v>72</v>
      </c>
      <c r="C29" s="15" t="s">
        <v>52</v>
      </c>
      <c r="D29" s="15"/>
      <c r="E29" s="19">
        <v>30000</v>
      </c>
      <c r="F29" s="19"/>
    </row>
    <row r="30" spans="1:6" x14ac:dyDescent="0.35">
      <c r="A30" s="15"/>
      <c r="B30" s="15" t="s">
        <v>73</v>
      </c>
      <c r="C30" s="15"/>
      <c r="D30" s="15"/>
      <c r="E30" s="19"/>
      <c r="F30" s="19">
        <f>E29</f>
        <v>30000</v>
      </c>
    </row>
    <row r="31" spans="1:6" x14ac:dyDescent="0.35">
      <c r="A31" s="15"/>
      <c r="B31" s="15" t="s">
        <v>74</v>
      </c>
      <c r="C31" s="15"/>
      <c r="D31" s="15"/>
      <c r="E31" s="19"/>
      <c r="F31" s="19"/>
    </row>
    <row r="32" spans="1:6" x14ac:dyDescent="0.35">
      <c r="A32" s="18">
        <v>46032</v>
      </c>
      <c r="B32" s="15" t="s">
        <v>75</v>
      </c>
      <c r="C32" s="15" t="s">
        <v>52</v>
      </c>
      <c r="D32" s="15"/>
      <c r="E32" s="19">
        <v>300000</v>
      </c>
      <c r="F32" s="19"/>
    </row>
    <row r="33" spans="1:6" x14ac:dyDescent="0.35">
      <c r="A33" s="15"/>
      <c r="B33" s="15" t="s">
        <v>76</v>
      </c>
      <c r="C33" s="15"/>
      <c r="D33" s="15"/>
      <c r="E33" s="19"/>
      <c r="F33" s="19">
        <f>E32</f>
        <v>300000</v>
      </c>
    </row>
    <row r="34" spans="1:6" x14ac:dyDescent="0.35">
      <c r="A34" s="15"/>
      <c r="B34" s="15" t="s">
        <v>77</v>
      </c>
      <c r="C34" s="15"/>
      <c r="D34" s="15"/>
      <c r="E34" s="19"/>
      <c r="F34" s="19"/>
    </row>
    <row r="35" spans="1:6" x14ac:dyDescent="0.35">
      <c r="A35" s="18">
        <v>46033</v>
      </c>
      <c r="B35" s="15" t="s">
        <v>78</v>
      </c>
      <c r="C35" s="15" t="s">
        <v>52</v>
      </c>
      <c r="D35" s="15"/>
      <c r="E35" s="19">
        <v>15000</v>
      </c>
      <c r="F35" s="19"/>
    </row>
    <row r="36" spans="1:6" x14ac:dyDescent="0.35">
      <c r="A36" s="15"/>
      <c r="B36" s="15" t="s">
        <v>59</v>
      </c>
      <c r="C36" s="15"/>
      <c r="D36" s="15"/>
      <c r="E36" s="19"/>
      <c r="F36" s="19">
        <f>E35</f>
        <v>15000</v>
      </c>
    </row>
    <row r="37" spans="1:6" x14ac:dyDescent="0.35">
      <c r="A37" s="15"/>
      <c r="B37" s="15" t="s">
        <v>79</v>
      </c>
      <c r="C37" s="15"/>
      <c r="D37" s="15"/>
      <c r="E37" s="19"/>
      <c r="F37" s="19"/>
    </row>
    <row r="38" spans="1:6" x14ac:dyDescent="0.35">
      <c r="A38" s="18">
        <v>46034</v>
      </c>
      <c r="B38" s="15" t="s">
        <v>80</v>
      </c>
      <c r="C38" s="15" t="s">
        <v>52</v>
      </c>
      <c r="D38" s="15"/>
      <c r="E38" s="19">
        <v>50000</v>
      </c>
      <c r="F38" s="19"/>
    </row>
    <row r="39" spans="1:6" x14ac:dyDescent="0.35">
      <c r="A39" s="15"/>
      <c r="B39" s="15" t="s">
        <v>63</v>
      </c>
      <c r="C39" s="15"/>
      <c r="D39" s="15"/>
      <c r="E39" s="19"/>
      <c r="F39" s="19">
        <f>E38</f>
        <v>50000</v>
      </c>
    </row>
    <row r="40" spans="1:6" x14ac:dyDescent="0.35">
      <c r="A40" s="15"/>
      <c r="B40" s="15" t="s">
        <v>81</v>
      </c>
      <c r="C40" s="15"/>
      <c r="D40" s="15"/>
      <c r="E40" s="19"/>
      <c r="F40" s="19"/>
    </row>
    <row r="41" spans="1:6" x14ac:dyDescent="0.35">
      <c r="A41" s="18">
        <v>46035</v>
      </c>
      <c r="B41" s="15" t="s">
        <v>56</v>
      </c>
      <c r="C41" s="15" t="s">
        <v>52</v>
      </c>
      <c r="D41" s="15"/>
      <c r="E41" s="19">
        <v>5000</v>
      </c>
      <c r="F41" s="19"/>
    </row>
    <row r="42" spans="1:6" x14ac:dyDescent="0.35">
      <c r="A42" s="15"/>
      <c r="B42" s="15" t="s">
        <v>59</v>
      </c>
      <c r="C42" s="15"/>
      <c r="D42" s="15"/>
      <c r="E42" s="19"/>
      <c r="F42" s="19">
        <f>E41</f>
        <v>5000</v>
      </c>
    </row>
    <row r="43" spans="1:6" x14ac:dyDescent="0.35">
      <c r="A43" s="15"/>
      <c r="B43" s="15" t="s">
        <v>82</v>
      </c>
      <c r="C43" s="15"/>
      <c r="D43" s="15"/>
      <c r="E43" s="19"/>
      <c r="F43" s="19"/>
    </row>
    <row r="44" spans="1:6" x14ac:dyDescent="0.35">
      <c r="A44" s="18">
        <v>46036</v>
      </c>
      <c r="B44" s="15" t="s">
        <v>53</v>
      </c>
      <c r="C44" s="15" t="s">
        <v>52</v>
      </c>
      <c r="D44" s="15"/>
      <c r="E44" s="19">
        <v>200000</v>
      </c>
      <c r="F44" s="19"/>
    </row>
    <row r="45" spans="1:6" x14ac:dyDescent="0.35">
      <c r="A45" s="15"/>
      <c r="B45" s="15" t="s">
        <v>59</v>
      </c>
      <c r="C45" s="15"/>
      <c r="D45" s="15"/>
      <c r="E45" s="19"/>
      <c r="F45" s="19">
        <f>E44</f>
        <v>200000</v>
      </c>
    </row>
    <row r="46" spans="1:6" x14ac:dyDescent="0.35">
      <c r="A46" s="15"/>
      <c r="B46" s="15" t="s">
        <v>83</v>
      </c>
      <c r="C46" s="15"/>
      <c r="D46" s="15"/>
      <c r="E46" s="19"/>
      <c r="F46" s="19"/>
    </row>
    <row r="47" spans="1:6" x14ac:dyDescent="0.35">
      <c r="A47" s="18">
        <v>46037</v>
      </c>
      <c r="B47" s="15" t="s">
        <v>51</v>
      </c>
      <c r="C47" s="15" t="s">
        <v>52</v>
      </c>
      <c r="D47" s="15"/>
      <c r="E47" s="19">
        <v>80000</v>
      </c>
      <c r="F47" s="19"/>
    </row>
    <row r="48" spans="1:6" x14ac:dyDescent="0.35">
      <c r="A48" s="15"/>
      <c r="B48" s="15" t="s">
        <v>76</v>
      </c>
      <c r="C48" s="15"/>
      <c r="D48" s="15"/>
      <c r="E48" s="19"/>
      <c r="F48" s="19">
        <f>E47</f>
        <v>80000</v>
      </c>
    </row>
    <row r="49" spans="1:6" x14ac:dyDescent="0.35">
      <c r="A49" s="15"/>
      <c r="B49" s="15" t="s">
        <v>84</v>
      </c>
      <c r="C49" s="15"/>
      <c r="D49" s="15"/>
      <c r="E49" s="19"/>
      <c r="F49" s="19"/>
    </row>
    <row r="50" spans="1:6" x14ac:dyDescent="0.35">
      <c r="A50" s="18">
        <v>46038</v>
      </c>
      <c r="B50" s="15" t="s">
        <v>56</v>
      </c>
      <c r="C50" s="15" t="s">
        <v>52</v>
      </c>
      <c r="D50" s="15"/>
      <c r="E50" s="19">
        <v>100000</v>
      </c>
      <c r="F50" s="19"/>
    </row>
    <row r="51" spans="1:6" x14ac:dyDescent="0.35">
      <c r="A51" s="15"/>
      <c r="B51" s="15" t="s">
        <v>59</v>
      </c>
      <c r="C51" s="15"/>
      <c r="D51" s="15"/>
      <c r="E51" s="19"/>
      <c r="F51" s="19">
        <v>100000</v>
      </c>
    </row>
    <row r="52" spans="1:6" x14ac:dyDescent="0.35">
      <c r="A52" s="15"/>
      <c r="B52" s="15" t="s">
        <v>85</v>
      </c>
      <c r="C52" s="15"/>
      <c r="D52" s="15"/>
      <c r="E52" s="19"/>
      <c r="F52" s="19"/>
    </row>
    <row r="53" spans="1:6" x14ac:dyDescent="0.35">
      <c r="A53" s="18">
        <v>46039</v>
      </c>
      <c r="B53" s="15" t="s">
        <v>86</v>
      </c>
      <c r="C53" s="15" t="s">
        <v>52</v>
      </c>
      <c r="D53" s="15"/>
      <c r="E53" s="19">
        <v>25000</v>
      </c>
      <c r="F53" s="19"/>
    </row>
    <row r="54" spans="1:6" x14ac:dyDescent="0.35">
      <c r="A54" s="15"/>
      <c r="B54" s="15" t="s">
        <v>66</v>
      </c>
      <c r="C54" s="15"/>
      <c r="D54" s="15"/>
      <c r="E54" s="19"/>
      <c r="F54" s="19">
        <f>E53</f>
        <v>25000</v>
      </c>
    </row>
    <row r="55" spans="1:6" x14ac:dyDescent="0.35">
      <c r="A55" s="15"/>
      <c r="B55" s="15" t="s">
        <v>87</v>
      </c>
      <c r="C55" s="15"/>
      <c r="D55" s="15"/>
      <c r="E55" s="19"/>
      <c r="F55" s="19"/>
    </row>
    <row r="56" spans="1:6" x14ac:dyDescent="0.35">
      <c r="A56" s="18">
        <v>46040</v>
      </c>
      <c r="B56" s="15" t="s">
        <v>88</v>
      </c>
      <c r="C56" s="15" t="s">
        <v>52</v>
      </c>
      <c r="D56" s="15"/>
      <c r="E56" s="19">
        <v>30000</v>
      </c>
      <c r="F56" s="19"/>
    </row>
    <row r="57" spans="1:6" x14ac:dyDescent="0.35">
      <c r="A57" s="15"/>
      <c r="B57" s="15" t="s">
        <v>66</v>
      </c>
      <c r="C57" s="15"/>
      <c r="D57" s="15"/>
      <c r="E57" s="19"/>
      <c r="F57" s="19">
        <f>E56</f>
        <v>30000</v>
      </c>
    </row>
    <row r="58" spans="1:6" x14ac:dyDescent="0.35">
      <c r="A58" s="15"/>
      <c r="B58" s="15" t="s">
        <v>89</v>
      </c>
      <c r="C58" s="15"/>
      <c r="D58" s="15"/>
      <c r="E58" s="19"/>
      <c r="F58" s="19"/>
    </row>
    <row r="59" spans="1:6" x14ac:dyDescent="0.35">
      <c r="A59" s="18">
        <v>46041</v>
      </c>
      <c r="B59" s="15" t="s">
        <v>51</v>
      </c>
      <c r="C59" s="15" t="s">
        <v>52</v>
      </c>
      <c r="D59" s="15"/>
      <c r="E59" s="19">
        <v>50000</v>
      </c>
      <c r="F59" s="19"/>
    </row>
    <row r="60" spans="1:6" x14ac:dyDescent="0.35">
      <c r="A60" s="15"/>
      <c r="B60" s="15" t="s">
        <v>66</v>
      </c>
      <c r="C60" s="15"/>
      <c r="D60" s="15"/>
      <c r="E60" s="19"/>
      <c r="F60" s="19">
        <f>E59</f>
        <v>50000</v>
      </c>
    </row>
    <row r="61" spans="1:6" x14ac:dyDescent="0.35">
      <c r="A61" s="15"/>
      <c r="B61" s="15" t="s">
        <v>90</v>
      </c>
      <c r="C61" s="15"/>
      <c r="D61" s="15"/>
      <c r="E61" s="19"/>
      <c r="F61" s="19"/>
    </row>
    <row r="62" spans="1:6" x14ac:dyDescent="0.35">
      <c r="A62" s="18">
        <v>46042</v>
      </c>
      <c r="B62" s="15" t="s">
        <v>51</v>
      </c>
      <c r="C62" s="15" t="s">
        <v>52</v>
      </c>
      <c r="D62" s="15"/>
      <c r="E62" s="19">
        <v>250000</v>
      </c>
      <c r="F62" s="19"/>
    </row>
    <row r="63" spans="1:6" x14ac:dyDescent="0.35">
      <c r="A63" s="15"/>
      <c r="B63" s="15" t="s">
        <v>63</v>
      </c>
      <c r="C63" s="15"/>
      <c r="D63" s="15"/>
      <c r="E63" s="19"/>
      <c r="F63" s="19">
        <f>E62</f>
        <v>250000</v>
      </c>
    </row>
    <row r="64" spans="1:6" x14ac:dyDescent="0.35">
      <c r="A64" s="15"/>
      <c r="B64" s="15" t="s">
        <v>91</v>
      </c>
      <c r="C64" s="15"/>
      <c r="D64" s="15"/>
      <c r="E64" s="19"/>
      <c r="F64" s="19"/>
    </row>
    <row r="65" spans="1:6" x14ac:dyDescent="0.35">
      <c r="A65" s="18">
        <v>46043</v>
      </c>
      <c r="B65" s="15" t="s">
        <v>92</v>
      </c>
      <c r="C65" s="15" t="s">
        <v>52</v>
      </c>
      <c r="D65" s="15"/>
      <c r="E65" s="19">
        <v>213000</v>
      </c>
      <c r="F65" s="19"/>
    </row>
    <row r="66" spans="1:6" x14ac:dyDescent="0.35">
      <c r="A66" s="15"/>
      <c r="B66" s="15" t="s">
        <v>66</v>
      </c>
      <c r="C66" s="15"/>
      <c r="D66" s="15"/>
      <c r="E66" s="19"/>
      <c r="F66" s="19">
        <f>E65</f>
        <v>213000</v>
      </c>
    </row>
    <row r="67" spans="1:6" x14ac:dyDescent="0.35">
      <c r="A67" s="15"/>
      <c r="B67" s="15" t="s">
        <v>93</v>
      </c>
      <c r="C67" s="15"/>
      <c r="D67" s="15"/>
      <c r="E67" s="19"/>
      <c r="F67" s="19"/>
    </row>
    <row r="68" spans="1:6" x14ac:dyDescent="0.35">
      <c r="A68" s="18">
        <v>46044</v>
      </c>
      <c r="B68" s="15" t="s">
        <v>72</v>
      </c>
      <c r="C68" s="15" t="s">
        <v>52</v>
      </c>
      <c r="D68" s="15"/>
      <c r="E68" s="19">
        <v>220000</v>
      </c>
      <c r="F68" s="19"/>
    </row>
    <row r="69" spans="1:6" x14ac:dyDescent="0.35">
      <c r="A69" s="15"/>
      <c r="B69" s="15" t="s">
        <v>66</v>
      </c>
      <c r="C69" s="15"/>
      <c r="D69" s="15"/>
      <c r="E69" s="19"/>
      <c r="F69" s="19">
        <f>E68</f>
        <v>220000</v>
      </c>
    </row>
    <row r="70" spans="1:6" x14ac:dyDescent="0.35">
      <c r="A70" s="15"/>
      <c r="B70" s="15" t="s">
        <v>94</v>
      </c>
      <c r="C70" s="15"/>
      <c r="D70" s="15"/>
      <c r="E70" s="19"/>
      <c r="F70" s="19"/>
    </row>
    <row r="71" spans="1:6" x14ac:dyDescent="0.35">
      <c r="A71" s="18">
        <v>46045</v>
      </c>
      <c r="B71" s="15" t="s">
        <v>95</v>
      </c>
      <c r="C71" s="15" t="s">
        <v>52</v>
      </c>
      <c r="D71" s="15"/>
      <c r="E71" s="19">
        <v>8000</v>
      </c>
      <c r="F71" s="19"/>
    </row>
    <row r="72" spans="1:6" x14ac:dyDescent="0.35">
      <c r="A72" s="15"/>
      <c r="B72" s="15" t="s">
        <v>59</v>
      </c>
      <c r="C72" s="15"/>
      <c r="D72" s="15"/>
      <c r="E72" s="19"/>
      <c r="F72" s="19">
        <f>E71</f>
        <v>8000</v>
      </c>
    </row>
    <row r="73" spans="1:6" x14ac:dyDescent="0.35">
      <c r="A73" s="15"/>
      <c r="B73" s="15" t="s">
        <v>96</v>
      </c>
      <c r="C73" s="15"/>
      <c r="D73" s="15"/>
      <c r="E73" s="19"/>
      <c r="F73" s="19"/>
    </row>
    <row r="74" spans="1:6" x14ac:dyDescent="0.35">
      <c r="A74" s="18">
        <v>46046</v>
      </c>
      <c r="B74" s="15" t="s">
        <v>97</v>
      </c>
      <c r="C74" s="15" t="s">
        <v>52</v>
      </c>
      <c r="D74" s="15"/>
      <c r="E74" s="19">
        <v>280000</v>
      </c>
      <c r="F74" s="19"/>
    </row>
    <row r="75" spans="1:6" x14ac:dyDescent="0.35">
      <c r="A75" s="15"/>
      <c r="B75" s="15" t="s">
        <v>76</v>
      </c>
      <c r="C75" s="15"/>
      <c r="D75" s="15"/>
      <c r="E75" s="19"/>
      <c r="F75" s="19">
        <f>E74</f>
        <v>280000</v>
      </c>
    </row>
    <row r="76" spans="1:6" x14ac:dyDescent="0.35">
      <c r="A76" s="15"/>
      <c r="B76" s="15" t="s">
        <v>98</v>
      </c>
      <c r="C76" s="15"/>
      <c r="D76" s="15"/>
      <c r="E76" s="19"/>
      <c r="F76" s="19"/>
    </row>
    <row r="77" spans="1:6" x14ac:dyDescent="0.35">
      <c r="A77" s="18">
        <v>46047</v>
      </c>
      <c r="B77" s="15" t="s">
        <v>56</v>
      </c>
      <c r="C77" s="15" t="s">
        <v>52</v>
      </c>
      <c r="D77" s="15"/>
      <c r="E77" s="19">
        <v>300000</v>
      </c>
      <c r="F77" s="19"/>
    </row>
    <row r="78" spans="1:6" x14ac:dyDescent="0.35">
      <c r="A78" s="15"/>
      <c r="B78" s="15" t="s">
        <v>99</v>
      </c>
      <c r="C78" s="15"/>
      <c r="D78" s="15"/>
      <c r="E78" s="19"/>
      <c r="F78" s="19">
        <f>E77</f>
        <v>300000</v>
      </c>
    </row>
    <row r="79" spans="1:6" x14ac:dyDescent="0.35">
      <c r="A79" s="15"/>
      <c r="B79" s="15" t="s">
        <v>100</v>
      </c>
      <c r="C79" s="15"/>
      <c r="D79" s="15"/>
      <c r="E79" s="19"/>
      <c r="F79" s="19"/>
    </row>
    <row r="80" spans="1:6" x14ac:dyDescent="0.35">
      <c r="A80" s="18">
        <v>46048</v>
      </c>
      <c r="B80" s="15" t="s">
        <v>53</v>
      </c>
      <c r="C80" s="15" t="s">
        <v>52</v>
      </c>
      <c r="D80" s="15"/>
      <c r="E80" s="19">
        <v>175000</v>
      </c>
      <c r="F80" s="19"/>
    </row>
    <row r="81" spans="1:6" x14ac:dyDescent="0.35">
      <c r="A81" s="15"/>
      <c r="B81" s="15" t="s">
        <v>101</v>
      </c>
      <c r="C81" s="15"/>
      <c r="D81" s="15"/>
      <c r="E81" s="19"/>
      <c r="F81" s="19">
        <f>E80</f>
        <v>175000</v>
      </c>
    </row>
    <row r="82" spans="1:6" x14ac:dyDescent="0.35">
      <c r="A82" s="15"/>
      <c r="B82" s="15" t="s">
        <v>102</v>
      </c>
      <c r="C82" s="15"/>
      <c r="D82" s="15"/>
      <c r="E82" s="19"/>
      <c r="F82" s="19"/>
    </row>
    <row r="83" spans="1:6" x14ac:dyDescent="0.35">
      <c r="A83" s="18">
        <v>46049</v>
      </c>
      <c r="B83" s="15" t="s">
        <v>103</v>
      </c>
      <c r="C83" s="15" t="s">
        <v>52</v>
      </c>
      <c r="D83" s="15"/>
      <c r="E83" s="19">
        <v>8000</v>
      </c>
      <c r="F83" s="19"/>
    </row>
    <row r="84" spans="1:6" x14ac:dyDescent="0.35">
      <c r="A84" s="15"/>
      <c r="B84" s="15" t="s">
        <v>66</v>
      </c>
      <c r="C84" s="15"/>
      <c r="D84" s="15"/>
      <c r="E84" s="19"/>
      <c r="F84" s="19">
        <f>E83</f>
        <v>8000</v>
      </c>
    </row>
    <row r="85" spans="1:6" x14ac:dyDescent="0.35">
      <c r="A85" s="15"/>
      <c r="B85" s="15" t="s">
        <v>104</v>
      </c>
      <c r="C85" s="15"/>
      <c r="D85" s="15"/>
      <c r="E85" s="19"/>
      <c r="F85" s="19"/>
    </row>
    <row r="86" spans="1:6" x14ac:dyDescent="0.35">
      <c r="A86" s="18">
        <v>46050</v>
      </c>
      <c r="B86" s="15" t="s">
        <v>53</v>
      </c>
      <c r="C86" s="15" t="s">
        <v>52</v>
      </c>
      <c r="D86" s="15"/>
      <c r="E86" s="19">
        <v>20000</v>
      </c>
      <c r="F86" s="19"/>
    </row>
    <row r="87" spans="1:6" x14ac:dyDescent="0.35">
      <c r="A87" s="15"/>
      <c r="B87" s="15" t="s">
        <v>105</v>
      </c>
      <c r="C87" s="15"/>
      <c r="D87" s="15"/>
      <c r="E87" s="19"/>
      <c r="F87" s="19">
        <f>E86</f>
        <v>20000</v>
      </c>
    </row>
    <row r="88" spans="1:6" x14ac:dyDescent="0.35">
      <c r="A88" s="15"/>
      <c r="B88" s="15" t="s">
        <v>106</v>
      </c>
      <c r="C88" s="15"/>
      <c r="D88" s="15"/>
      <c r="E88" s="19"/>
      <c r="F88" s="19"/>
    </row>
    <row r="89" spans="1:6" x14ac:dyDescent="0.35">
      <c r="A89" s="18">
        <v>46051</v>
      </c>
      <c r="B89" s="15" t="s">
        <v>107</v>
      </c>
      <c r="C89" s="15" t="s">
        <v>52</v>
      </c>
      <c r="D89" s="15"/>
      <c r="E89" s="19">
        <v>60000</v>
      </c>
      <c r="F89" s="19"/>
    </row>
    <row r="90" spans="1:6" x14ac:dyDescent="0.35">
      <c r="A90" s="15"/>
      <c r="B90" s="15" t="s">
        <v>66</v>
      </c>
      <c r="C90" s="15"/>
      <c r="D90" s="15"/>
      <c r="E90" s="19"/>
      <c r="F90" s="19">
        <f>E89</f>
        <v>60000</v>
      </c>
    </row>
    <row r="91" spans="1:6" x14ac:dyDescent="0.35">
      <c r="A91" s="15"/>
      <c r="B91" s="15" t="s">
        <v>108</v>
      </c>
      <c r="C91" s="15"/>
      <c r="D91" s="15"/>
      <c r="E91" s="19"/>
      <c r="F91" s="19"/>
    </row>
    <row r="92" spans="1:6" x14ac:dyDescent="0.35">
      <c r="A92" s="18">
        <v>46052</v>
      </c>
      <c r="B92" s="15" t="s">
        <v>109</v>
      </c>
      <c r="C92" s="15" t="s">
        <v>52</v>
      </c>
      <c r="D92" s="15"/>
      <c r="E92" s="19">
        <v>12000</v>
      </c>
      <c r="F92" s="19"/>
    </row>
    <row r="93" spans="1:6" x14ac:dyDescent="0.35">
      <c r="A93" s="15"/>
      <c r="B93" s="15" t="s">
        <v>66</v>
      </c>
      <c r="C93" s="15"/>
      <c r="D93" s="15"/>
      <c r="E93" s="19"/>
      <c r="F93" s="19">
        <f>E92</f>
        <v>12000</v>
      </c>
    </row>
    <row r="94" spans="1:6" x14ac:dyDescent="0.35">
      <c r="A94" s="15"/>
      <c r="B94" s="15" t="s">
        <v>110</v>
      </c>
      <c r="C94" s="15"/>
      <c r="D94" s="15"/>
      <c r="E94" s="19"/>
      <c r="F94" s="19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7682-B8EF-4178-8C85-72AF589246F5}">
  <dimension ref="A1:J227"/>
  <sheetViews>
    <sheetView topLeftCell="A75" workbookViewId="0">
      <selection activeCell="A182" sqref="A182:H182"/>
    </sheetView>
  </sheetViews>
  <sheetFormatPr defaultRowHeight="14.5" x14ac:dyDescent="0.35"/>
  <cols>
    <col min="1" max="1" width="13.54296875" customWidth="1"/>
    <col min="2" max="2" width="28.453125" customWidth="1"/>
    <col min="3" max="3" width="5.1796875" customWidth="1"/>
    <col min="4" max="4" width="12.6328125" style="5" customWidth="1"/>
    <col min="5" max="5" width="13" customWidth="1"/>
    <col min="6" max="6" width="30.1796875" customWidth="1"/>
    <col min="7" max="7" width="5.1796875" customWidth="1"/>
    <col min="8" max="8" width="13.81640625" style="5" customWidth="1"/>
    <col min="10" max="10" width="9.81640625" bestFit="1" customWidth="1"/>
  </cols>
  <sheetData>
    <row r="1" spans="1:8" ht="15.5" x14ac:dyDescent="0.35">
      <c r="A1" s="63" t="s">
        <v>179</v>
      </c>
      <c r="B1" s="63"/>
      <c r="C1" s="63"/>
      <c r="D1" s="63"/>
      <c r="E1" s="63"/>
      <c r="F1" s="63"/>
      <c r="G1" s="63"/>
      <c r="H1" s="63"/>
    </row>
    <row r="3" spans="1:8" ht="15.5" x14ac:dyDescent="0.35">
      <c r="A3" s="16" t="s">
        <v>111</v>
      </c>
      <c r="B3" s="63" t="s">
        <v>115</v>
      </c>
      <c r="C3" s="63"/>
      <c r="D3" s="63"/>
      <c r="E3" s="63"/>
      <c r="F3" s="63"/>
      <c r="G3" s="63"/>
      <c r="H3" s="17" t="s">
        <v>114</v>
      </c>
    </row>
    <row r="4" spans="1:8" ht="15.5" x14ac:dyDescent="0.35">
      <c r="A4" s="33" t="s">
        <v>9</v>
      </c>
      <c r="B4" s="33" t="s">
        <v>10</v>
      </c>
      <c r="C4" s="33" t="s">
        <v>112</v>
      </c>
      <c r="D4" s="34" t="s">
        <v>113</v>
      </c>
      <c r="E4" s="33" t="s">
        <v>9</v>
      </c>
      <c r="F4" s="33" t="s">
        <v>10</v>
      </c>
      <c r="G4" s="33" t="s">
        <v>112</v>
      </c>
      <c r="H4" s="34" t="s">
        <v>113</v>
      </c>
    </row>
    <row r="5" spans="1:8" x14ac:dyDescent="0.35">
      <c r="A5" s="18">
        <v>46053</v>
      </c>
      <c r="B5" s="15" t="s">
        <v>118</v>
      </c>
      <c r="C5" s="15"/>
      <c r="D5" s="19">
        <f>H8</f>
        <v>6500000</v>
      </c>
      <c r="E5" s="18">
        <v>46023</v>
      </c>
      <c r="F5" s="15" t="s">
        <v>116</v>
      </c>
      <c r="G5" s="15"/>
      <c r="H5" s="19">
        <v>3250000</v>
      </c>
    </row>
    <row r="6" spans="1:8" x14ac:dyDescent="0.35">
      <c r="A6" s="15"/>
      <c r="B6" s="15"/>
      <c r="C6" s="15"/>
      <c r="D6" s="19"/>
      <c r="E6" s="18">
        <v>46023</v>
      </c>
      <c r="F6" s="15" t="s">
        <v>117</v>
      </c>
      <c r="G6" s="15"/>
      <c r="H6" s="19">
        <v>3250000</v>
      </c>
    </row>
    <row r="7" spans="1:8" x14ac:dyDescent="0.35">
      <c r="A7" s="15"/>
      <c r="B7" s="15"/>
      <c r="C7" s="15"/>
      <c r="D7" s="19"/>
      <c r="E7" s="15"/>
      <c r="F7" s="15"/>
      <c r="G7" s="15"/>
      <c r="H7" s="19"/>
    </row>
    <row r="8" spans="1:8" x14ac:dyDescent="0.35">
      <c r="A8" s="15"/>
      <c r="B8" s="15"/>
      <c r="C8" s="15"/>
      <c r="D8" s="20">
        <f>SUM(D5:D7)</f>
        <v>6500000</v>
      </c>
      <c r="E8" s="15"/>
      <c r="F8" s="15"/>
      <c r="G8" s="15"/>
      <c r="H8" s="20">
        <f>SUM(H5:H7)</f>
        <v>6500000</v>
      </c>
    </row>
    <row r="9" spans="1:8" x14ac:dyDescent="0.35">
      <c r="A9" s="15"/>
      <c r="B9" s="15"/>
      <c r="C9" s="15"/>
      <c r="D9" s="19"/>
      <c r="E9" s="18">
        <v>46054</v>
      </c>
      <c r="F9" s="15" t="s">
        <v>119</v>
      </c>
      <c r="G9" s="15"/>
      <c r="H9" s="20">
        <f>D5</f>
        <v>6500000</v>
      </c>
    </row>
    <row r="12" spans="1:8" ht="15.5" x14ac:dyDescent="0.35">
      <c r="A12" s="16" t="s">
        <v>111</v>
      </c>
      <c r="B12" s="62" t="s">
        <v>51</v>
      </c>
      <c r="C12" s="62"/>
      <c r="D12" s="62"/>
      <c r="E12" s="62"/>
      <c r="F12" s="62"/>
      <c r="G12" s="62"/>
      <c r="H12" s="17" t="s">
        <v>114</v>
      </c>
    </row>
    <row r="13" spans="1:8" ht="15.5" x14ac:dyDescent="0.35">
      <c r="A13" s="33" t="s">
        <v>9</v>
      </c>
      <c r="B13" s="33" t="s">
        <v>10</v>
      </c>
      <c r="C13" s="33" t="s">
        <v>112</v>
      </c>
      <c r="D13" s="34" t="s">
        <v>113</v>
      </c>
      <c r="E13" s="33" t="s">
        <v>9</v>
      </c>
      <c r="F13" s="33" t="s">
        <v>10</v>
      </c>
      <c r="G13" s="33" t="s">
        <v>112</v>
      </c>
      <c r="H13" s="34" t="s">
        <v>113</v>
      </c>
    </row>
    <row r="14" spans="1:8" x14ac:dyDescent="0.35">
      <c r="A14" s="18">
        <v>46023</v>
      </c>
      <c r="B14" s="15" t="s">
        <v>120</v>
      </c>
      <c r="C14" s="15"/>
      <c r="D14" s="22">
        <v>3250000</v>
      </c>
      <c r="E14" s="18">
        <v>46025</v>
      </c>
      <c r="F14" s="15" t="s">
        <v>121</v>
      </c>
      <c r="G14" s="15"/>
      <c r="H14" s="22">
        <v>25000</v>
      </c>
    </row>
    <row r="15" spans="1:8" x14ac:dyDescent="0.35">
      <c r="A15" s="18">
        <v>46027</v>
      </c>
      <c r="B15" s="15" t="s">
        <v>123</v>
      </c>
      <c r="C15" s="15"/>
      <c r="D15" s="22">
        <v>120000</v>
      </c>
      <c r="E15" s="18">
        <v>46026</v>
      </c>
      <c r="F15" s="15" t="s">
        <v>122</v>
      </c>
      <c r="G15" s="15"/>
      <c r="H15" s="22">
        <v>55000</v>
      </c>
    </row>
    <row r="16" spans="1:8" x14ac:dyDescent="0.35">
      <c r="A16" s="18">
        <v>46037</v>
      </c>
      <c r="B16" s="15" t="s">
        <v>128</v>
      </c>
      <c r="C16" s="15"/>
      <c r="D16" s="22">
        <v>80000</v>
      </c>
      <c r="E16" s="18">
        <v>46029</v>
      </c>
      <c r="F16" s="15" t="s">
        <v>124</v>
      </c>
      <c r="G16" s="15"/>
      <c r="H16" s="22">
        <v>20000</v>
      </c>
    </row>
    <row r="17" spans="1:10" x14ac:dyDescent="0.35">
      <c r="A17" s="18">
        <v>46041</v>
      </c>
      <c r="B17" s="15" t="s">
        <v>129</v>
      </c>
      <c r="C17" s="15"/>
      <c r="D17" s="22">
        <v>50000</v>
      </c>
      <c r="E17" s="18">
        <v>46030</v>
      </c>
      <c r="F17" s="15" t="s">
        <v>125</v>
      </c>
      <c r="G17" s="15"/>
      <c r="H17" s="22">
        <v>10000</v>
      </c>
    </row>
    <row r="18" spans="1:10" x14ac:dyDescent="0.35">
      <c r="A18" s="18">
        <v>46042</v>
      </c>
      <c r="B18" s="15" t="s">
        <v>123</v>
      </c>
      <c r="C18" s="15"/>
      <c r="D18" s="22">
        <v>250000</v>
      </c>
      <c r="E18" s="18">
        <v>46033</v>
      </c>
      <c r="F18" s="15" t="s">
        <v>126</v>
      </c>
      <c r="G18" s="15"/>
      <c r="H18" s="22">
        <v>15000</v>
      </c>
    </row>
    <row r="19" spans="1:10" x14ac:dyDescent="0.35">
      <c r="A19" s="15"/>
      <c r="B19" s="15"/>
      <c r="C19" s="15"/>
      <c r="D19" s="19"/>
      <c r="E19" s="18">
        <v>46035</v>
      </c>
      <c r="F19" s="15" t="s">
        <v>127</v>
      </c>
      <c r="G19" s="15"/>
      <c r="H19" s="19">
        <v>5000</v>
      </c>
    </row>
    <row r="20" spans="1:10" x14ac:dyDescent="0.35">
      <c r="A20" s="15"/>
      <c r="B20" s="15"/>
      <c r="C20" s="15"/>
      <c r="D20" s="19"/>
      <c r="E20" s="18">
        <v>46036</v>
      </c>
      <c r="F20" s="15" t="s">
        <v>117</v>
      </c>
      <c r="G20" s="15"/>
      <c r="H20" s="19">
        <v>200000</v>
      </c>
    </row>
    <row r="21" spans="1:10" x14ac:dyDescent="0.35">
      <c r="A21" s="15"/>
      <c r="B21" s="15"/>
      <c r="C21" s="15"/>
      <c r="D21" s="19"/>
      <c r="E21" s="18">
        <v>46038</v>
      </c>
      <c r="F21" s="15" t="s">
        <v>121</v>
      </c>
      <c r="G21" s="15"/>
      <c r="H21" s="19">
        <v>100000</v>
      </c>
    </row>
    <row r="22" spans="1:10" x14ac:dyDescent="0.35">
      <c r="A22" s="15"/>
      <c r="B22" s="15"/>
      <c r="C22" s="15"/>
      <c r="D22" s="19"/>
      <c r="E22" s="18">
        <v>46045</v>
      </c>
      <c r="F22" s="15" t="s">
        <v>130</v>
      </c>
      <c r="G22" s="15"/>
      <c r="H22" s="19">
        <v>8000</v>
      </c>
      <c r="J22" s="23"/>
    </row>
    <row r="23" spans="1:10" x14ac:dyDescent="0.35">
      <c r="A23" s="15"/>
      <c r="B23" s="15"/>
      <c r="C23" s="15"/>
      <c r="D23" s="19"/>
      <c r="E23" s="18">
        <v>46053</v>
      </c>
      <c r="F23" s="15" t="s">
        <v>131</v>
      </c>
      <c r="G23" s="15"/>
      <c r="H23" s="19">
        <v>3312000</v>
      </c>
    </row>
    <row r="24" spans="1:10" x14ac:dyDescent="0.35">
      <c r="A24" s="15"/>
      <c r="B24" s="15"/>
      <c r="C24" s="15"/>
      <c r="D24" s="19"/>
      <c r="E24" s="15"/>
      <c r="F24" s="15"/>
      <c r="G24" s="15"/>
      <c r="H24" s="19"/>
    </row>
    <row r="25" spans="1:10" x14ac:dyDescent="0.35">
      <c r="A25" s="15"/>
      <c r="B25" s="15"/>
      <c r="C25" s="15"/>
      <c r="D25" s="20">
        <f>SUM(D14:D24)</f>
        <v>3750000</v>
      </c>
      <c r="E25" s="21"/>
      <c r="F25" s="21"/>
      <c r="G25" s="21"/>
      <c r="H25" s="20">
        <f>SUM(H14:H23)</f>
        <v>3750000</v>
      </c>
    </row>
    <row r="26" spans="1:10" x14ac:dyDescent="0.35">
      <c r="A26" s="18">
        <v>46054</v>
      </c>
      <c r="B26" s="15" t="s">
        <v>132</v>
      </c>
      <c r="C26" s="15"/>
      <c r="D26" s="20">
        <f>H23</f>
        <v>3312000</v>
      </c>
      <c r="E26" s="21"/>
      <c r="F26" s="21"/>
      <c r="G26" s="21"/>
      <c r="H26" s="20"/>
    </row>
    <row r="29" spans="1:10" ht="15.5" x14ac:dyDescent="0.35">
      <c r="A29" s="16" t="s">
        <v>111</v>
      </c>
      <c r="B29" s="62" t="s">
        <v>53</v>
      </c>
      <c r="C29" s="62"/>
      <c r="D29" s="62"/>
      <c r="E29" s="62"/>
      <c r="F29" s="62"/>
      <c r="G29" s="62"/>
      <c r="H29" s="17" t="s">
        <v>114</v>
      </c>
    </row>
    <row r="30" spans="1:10" ht="15.5" x14ac:dyDescent="0.35">
      <c r="A30" s="33" t="s">
        <v>9</v>
      </c>
      <c r="B30" s="33" t="s">
        <v>10</v>
      </c>
      <c r="C30" s="33" t="s">
        <v>112</v>
      </c>
      <c r="D30" s="34" t="s">
        <v>113</v>
      </c>
      <c r="E30" s="33" t="s">
        <v>9</v>
      </c>
      <c r="F30" s="33" t="s">
        <v>10</v>
      </c>
      <c r="G30" s="33" t="s">
        <v>112</v>
      </c>
      <c r="H30" s="34" t="s">
        <v>113</v>
      </c>
    </row>
    <row r="31" spans="1:10" x14ac:dyDescent="0.35">
      <c r="A31" s="18">
        <v>46023</v>
      </c>
      <c r="B31" s="15" t="s">
        <v>120</v>
      </c>
      <c r="C31" s="15"/>
      <c r="D31" s="22">
        <v>3250000</v>
      </c>
      <c r="E31" s="18">
        <v>46028</v>
      </c>
      <c r="F31" s="15" t="s">
        <v>133</v>
      </c>
      <c r="G31" s="15"/>
      <c r="H31" s="22">
        <v>42000</v>
      </c>
    </row>
    <row r="32" spans="1:10" x14ac:dyDescent="0.35">
      <c r="A32" s="18">
        <v>46036</v>
      </c>
      <c r="B32" s="15" t="s">
        <v>134</v>
      </c>
      <c r="C32" s="15"/>
      <c r="D32" s="22">
        <v>200000</v>
      </c>
      <c r="E32" s="18">
        <v>46039</v>
      </c>
      <c r="F32" s="15" t="s">
        <v>167</v>
      </c>
      <c r="G32" s="15"/>
      <c r="H32" s="19">
        <v>25000</v>
      </c>
    </row>
    <row r="33" spans="1:10" x14ac:dyDescent="0.35">
      <c r="A33" s="18">
        <v>46048</v>
      </c>
      <c r="B33" s="15" t="s">
        <v>138</v>
      </c>
      <c r="C33" s="15"/>
      <c r="D33" s="22">
        <v>175000</v>
      </c>
      <c r="E33" s="18">
        <v>46040</v>
      </c>
      <c r="F33" s="15" t="s">
        <v>135</v>
      </c>
      <c r="G33" s="15"/>
      <c r="H33" s="22">
        <v>30000</v>
      </c>
    </row>
    <row r="34" spans="1:10" x14ac:dyDescent="0.35">
      <c r="A34" s="18">
        <v>46050</v>
      </c>
      <c r="B34" s="15" t="s">
        <v>140</v>
      </c>
      <c r="C34" s="15"/>
      <c r="D34" s="22">
        <v>20000</v>
      </c>
      <c r="E34" s="18">
        <v>46041</v>
      </c>
      <c r="F34" s="15" t="s">
        <v>116</v>
      </c>
      <c r="G34" s="15"/>
      <c r="H34" s="22">
        <v>50000</v>
      </c>
    </row>
    <row r="35" spans="1:10" x14ac:dyDescent="0.35">
      <c r="A35" s="18"/>
      <c r="B35" s="15"/>
      <c r="C35" s="15"/>
      <c r="D35" s="22"/>
      <c r="E35" s="18">
        <v>46043</v>
      </c>
      <c r="F35" s="15" t="s">
        <v>136</v>
      </c>
      <c r="G35" s="15"/>
      <c r="H35" s="22">
        <v>213000</v>
      </c>
    </row>
    <row r="36" spans="1:10" x14ac:dyDescent="0.35">
      <c r="A36" s="15"/>
      <c r="B36" s="15"/>
      <c r="C36" s="15"/>
      <c r="D36" s="22"/>
      <c r="E36" s="18">
        <v>46044</v>
      </c>
      <c r="F36" s="15" t="s">
        <v>137</v>
      </c>
      <c r="G36" s="15"/>
      <c r="H36" s="22">
        <v>220000</v>
      </c>
    </row>
    <row r="37" spans="1:10" x14ac:dyDescent="0.35">
      <c r="A37" s="15"/>
      <c r="B37" s="15"/>
      <c r="C37" s="15"/>
      <c r="D37" s="22"/>
      <c r="E37" s="18">
        <v>46049</v>
      </c>
      <c r="F37" s="15" t="s">
        <v>139</v>
      </c>
      <c r="G37" s="15"/>
      <c r="H37" s="22">
        <v>8000</v>
      </c>
    </row>
    <row r="38" spans="1:10" x14ac:dyDescent="0.35">
      <c r="A38" s="15"/>
      <c r="B38" s="15"/>
      <c r="C38" s="15"/>
      <c r="D38" s="22"/>
      <c r="E38" s="18">
        <v>46051</v>
      </c>
      <c r="F38" s="15" t="s">
        <v>141</v>
      </c>
      <c r="G38" s="15"/>
      <c r="H38" s="22">
        <v>60000</v>
      </c>
    </row>
    <row r="39" spans="1:10" x14ac:dyDescent="0.35">
      <c r="A39" s="15"/>
      <c r="B39" s="15"/>
      <c r="C39" s="15"/>
      <c r="D39" s="22"/>
      <c r="E39" s="18">
        <v>46052</v>
      </c>
      <c r="F39" s="15" t="s">
        <v>142</v>
      </c>
      <c r="G39" s="15"/>
      <c r="H39" s="22">
        <v>12000</v>
      </c>
      <c r="J39" s="23"/>
    </row>
    <row r="40" spans="1:10" x14ac:dyDescent="0.35">
      <c r="A40" s="15"/>
      <c r="B40" s="15"/>
      <c r="C40" s="15"/>
      <c r="D40" s="22"/>
      <c r="E40" s="18">
        <v>46053</v>
      </c>
      <c r="F40" s="15" t="s">
        <v>131</v>
      </c>
      <c r="G40" s="15"/>
      <c r="H40" s="22">
        <v>2985000</v>
      </c>
      <c r="J40" s="23"/>
    </row>
    <row r="41" spans="1:10" x14ac:dyDescent="0.35">
      <c r="A41" s="15"/>
      <c r="B41" s="15"/>
      <c r="C41" s="15"/>
      <c r="D41" s="22"/>
      <c r="E41" s="18"/>
      <c r="F41" s="15"/>
      <c r="G41" s="15"/>
      <c r="H41" s="22"/>
    </row>
    <row r="42" spans="1:10" x14ac:dyDescent="0.35">
      <c r="A42" s="15"/>
      <c r="B42" s="15"/>
      <c r="C42" s="15"/>
      <c r="D42" s="20">
        <f>SUM(D31:D41)</f>
        <v>3645000</v>
      </c>
      <c r="E42" s="21"/>
      <c r="F42" s="21"/>
      <c r="G42" s="21"/>
      <c r="H42" s="20">
        <f>SUM(H31:H41)</f>
        <v>3645000</v>
      </c>
    </row>
    <row r="43" spans="1:10" x14ac:dyDescent="0.35">
      <c r="A43" s="18">
        <v>46054</v>
      </c>
      <c r="B43" s="15" t="s">
        <v>132</v>
      </c>
      <c r="C43" s="15"/>
      <c r="D43" s="20">
        <f>H40</f>
        <v>2985000</v>
      </c>
      <c r="E43" s="21"/>
      <c r="F43" s="21"/>
      <c r="G43" s="21"/>
      <c r="H43" s="20"/>
    </row>
    <row r="46" spans="1:10" ht="15.5" x14ac:dyDescent="0.35">
      <c r="A46" s="16" t="s">
        <v>111</v>
      </c>
      <c r="B46" s="62" t="s">
        <v>56</v>
      </c>
      <c r="C46" s="62"/>
      <c r="D46" s="62"/>
      <c r="E46" s="62"/>
      <c r="F46" s="62"/>
      <c r="G46" s="62"/>
      <c r="H46" s="17" t="s">
        <v>114</v>
      </c>
    </row>
    <row r="47" spans="1:10" ht="15.5" x14ac:dyDescent="0.35">
      <c r="A47" s="33" t="s">
        <v>9</v>
      </c>
      <c r="B47" s="33" t="s">
        <v>10</v>
      </c>
      <c r="C47" s="33" t="s">
        <v>112</v>
      </c>
      <c r="D47" s="34" t="s">
        <v>113</v>
      </c>
      <c r="E47" s="33" t="s">
        <v>9</v>
      </c>
      <c r="F47" s="33" t="s">
        <v>10</v>
      </c>
      <c r="G47" s="33" t="s">
        <v>112</v>
      </c>
      <c r="H47" s="34" t="s">
        <v>113</v>
      </c>
    </row>
    <row r="48" spans="1:10" x14ac:dyDescent="0.35">
      <c r="A48" s="18">
        <v>46024</v>
      </c>
      <c r="B48" s="15" t="s">
        <v>144</v>
      </c>
      <c r="C48" s="15"/>
      <c r="D48" s="19">
        <v>250000</v>
      </c>
      <c r="E48" s="18">
        <v>46053</v>
      </c>
      <c r="F48" s="15" t="s">
        <v>131</v>
      </c>
      <c r="G48" s="15"/>
      <c r="H48" s="22">
        <f>D53</f>
        <v>675000</v>
      </c>
    </row>
    <row r="49" spans="1:8" x14ac:dyDescent="0.35">
      <c r="A49" s="18">
        <v>46025</v>
      </c>
      <c r="B49" s="15" t="s">
        <v>134</v>
      </c>
      <c r="C49" s="15"/>
      <c r="D49" s="22">
        <v>25000</v>
      </c>
      <c r="E49" s="18"/>
      <c r="F49" s="15"/>
      <c r="G49" s="15"/>
      <c r="H49" s="22"/>
    </row>
    <row r="50" spans="1:8" x14ac:dyDescent="0.35">
      <c r="A50" s="18">
        <v>46038</v>
      </c>
      <c r="B50" s="15" t="s">
        <v>134</v>
      </c>
      <c r="C50" s="15"/>
      <c r="D50" s="22">
        <v>100000</v>
      </c>
      <c r="E50" s="18"/>
      <c r="F50" s="15"/>
      <c r="G50" s="15"/>
      <c r="H50" s="22"/>
    </row>
    <row r="51" spans="1:8" x14ac:dyDescent="0.35">
      <c r="A51" s="18">
        <v>46047</v>
      </c>
      <c r="B51" s="15" t="s">
        <v>143</v>
      </c>
      <c r="C51" s="15"/>
      <c r="D51" s="22">
        <v>300000</v>
      </c>
      <c r="E51" s="18"/>
      <c r="F51" s="15"/>
      <c r="G51" s="15"/>
      <c r="H51" s="22"/>
    </row>
    <row r="52" spans="1:8" x14ac:dyDescent="0.35">
      <c r="A52" s="18"/>
      <c r="B52" s="15"/>
      <c r="C52" s="15"/>
      <c r="D52" s="22"/>
      <c r="E52" s="18"/>
      <c r="F52" s="15"/>
      <c r="G52" s="15"/>
      <c r="H52" s="22"/>
    </row>
    <row r="53" spans="1:8" x14ac:dyDescent="0.35">
      <c r="A53" s="18"/>
      <c r="B53" s="15"/>
      <c r="C53" s="15"/>
      <c r="D53" s="20">
        <f>SUM(D48:D52)</f>
        <v>675000</v>
      </c>
      <c r="E53" s="24"/>
      <c r="F53" s="21"/>
      <c r="G53" s="21"/>
      <c r="H53" s="20">
        <f>SUM(H48:H52)</f>
        <v>675000</v>
      </c>
    </row>
    <row r="54" spans="1:8" x14ac:dyDescent="0.35">
      <c r="A54" s="18">
        <v>46054</v>
      </c>
      <c r="B54" s="15" t="s">
        <v>132</v>
      </c>
      <c r="C54" s="15"/>
      <c r="D54" s="20">
        <f>H48</f>
        <v>675000</v>
      </c>
      <c r="E54" s="24"/>
      <c r="F54" s="21"/>
      <c r="G54" s="21"/>
      <c r="H54" s="20"/>
    </row>
    <row r="57" spans="1:8" ht="15.5" x14ac:dyDescent="0.35">
      <c r="A57" s="16" t="s">
        <v>111</v>
      </c>
      <c r="B57" s="62" t="s">
        <v>72</v>
      </c>
      <c r="C57" s="62"/>
      <c r="D57" s="62"/>
      <c r="E57" s="62"/>
      <c r="F57" s="62"/>
      <c r="G57" s="62"/>
      <c r="H57" s="17" t="s">
        <v>114</v>
      </c>
    </row>
    <row r="58" spans="1:8" ht="15.5" x14ac:dyDescent="0.35">
      <c r="A58" s="33" t="s">
        <v>9</v>
      </c>
      <c r="B58" s="33" t="s">
        <v>10</v>
      </c>
      <c r="C58" s="33" t="s">
        <v>112</v>
      </c>
      <c r="D58" s="34" t="s">
        <v>113</v>
      </c>
      <c r="E58" s="33" t="s">
        <v>9</v>
      </c>
      <c r="F58" s="33" t="s">
        <v>10</v>
      </c>
      <c r="G58" s="33" t="s">
        <v>112</v>
      </c>
      <c r="H58" s="34" t="s">
        <v>113</v>
      </c>
    </row>
    <row r="59" spans="1:8" x14ac:dyDescent="0.35">
      <c r="A59" s="18">
        <v>46031</v>
      </c>
      <c r="B59" s="15" t="s">
        <v>146</v>
      </c>
      <c r="C59" s="15"/>
      <c r="D59" s="19">
        <v>30000</v>
      </c>
      <c r="E59" s="18">
        <v>46024</v>
      </c>
      <c r="F59" s="15" t="s">
        <v>145</v>
      </c>
      <c r="G59" s="15"/>
      <c r="H59" s="22">
        <v>250000</v>
      </c>
    </row>
    <row r="60" spans="1:8" x14ac:dyDescent="0.35">
      <c r="A60" s="18">
        <v>46044</v>
      </c>
      <c r="B60" s="15" t="s">
        <v>129</v>
      </c>
      <c r="C60" s="15"/>
      <c r="D60" s="22">
        <v>220000</v>
      </c>
      <c r="E60" s="18"/>
      <c r="F60" s="15"/>
      <c r="G60" s="15"/>
      <c r="H60" s="22"/>
    </row>
    <row r="61" spans="1:8" x14ac:dyDescent="0.35">
      <c r="A61" s="18"/>
      <c r="B61" s="15"/>
      <c r="C61" s="15"/>
      <c r="D61" s="22"/>
      <c r="E61" s="18"/>
      <c r="F61" s="15"/>
      <c r="G61" s="15"/>
      <c r="H61" s="22"/>
    </row>
    <row r="62" spans="1:8" x14ac:dyDescent="0.35">
      <c r="A62" s="18"/>
      <c r="B62" s="15"/>
      <c r="C62" s="15"/>
      <c r="D62" s="20">
        <f>SUM(D59:D61)</f>
        <v>250000</v>
      </c>
      <c r="E62" s="18"/>
      <c r="F62" s="15"/>
      <c r="G62" s="15"/>
      <c r="H62" s="20">
        <f>SUM(H59:H61)</f>
        <v>250000</v>
      </c>
    </row>
    <row r="65" spans="1:8" ht="15.5" x14ac:dyDescent="0.35">
      <c r="A65" s="16" t="s">
        <v>111</v>
      </c>
      <c r="B65" s="62" t="s">
        <v>166</v>
      </c>
      <c r="C65" s="62"/>
      <c r="D65" s="62"/>
      <c r="E65" s="62"/>
      <c r="F65" s="62"/>
      <c r="G65" s="62"/>
      <c r="H65" s="17" t="s">
        <v>114</v>
      </c>
    </row>
    <row r="66" spans="1:8" ht="15.5" x14ac:dyDescent="0.35">
      <c r="A66" s="33" t="s">
        <v>9</v>
      </c>
      <c r="B66" s="33" t="s">
        <v>10</v>
      </c>
      <c r="C66" s="33" t="s">
        <v>112</v>
      </c>
      <c r="D66" s="34" t="s">
        <v>113</v>
      </c>
      <c r="E66" s="33" t="s">
        <v>9</v>
      </c>
      <c r="F66" s="33" t="s">
        <v>10</v>
      </c>
      <c r="G66" s="33" t="s">
        <v>112</v>
      </c>
      <c r="H66" s="34" t="s">
        <v>113</v>
      </c>
    </row>
    <row r="67" spans="1:8" x14ac:dyDescent="0.35">
      <c r="A67" s="18">
        <v>46035</v>
      </c>
      <c r="B67" s="15" t="s">
        <v>134</v>
      </c>
      <c r="C67" s="15"/>
      <c r="D67" s="22">
        <v>5000</v>
      </c>
      <c r="E67" s="18">
        <v>46053</v>
      </c>
      <c r="F67" s="15" t="s">
        <v>131</v>
      </c>
      <c r="G67" s="15"/>
      <c r="H67" s="22">
        <f>D69</f>
        <v>5000</v>
      </c>
    </row>
    <row r="68" spans="1:8" x14ac:dyDescent="0.35">
      <c r="A68" s="18"/>
      <c r="B68" s="15"/>
      <c r="C68" s="15"/>
      <c r="D68" s="22"/>
      <c r="E68" s="18"/>
      <c r="F68" s="15"/>
      <c r="G68" s="15"/>
      <c r="H68" s="22"/>
    </row>
    <row r="69" spans="1:8" x14ac:dyDescent="0.35">
      <c r="A69" s="18"/>
      <c r="B69" s="15"/>
      <c r="C69" s="15"/>
      <c r="D69" s="20">
        <f>SUM(D67:D68)</f>
        <v>5000</v>
      </c>
      <c r="E69" s="18"/>
      <c r="F69" s="15"/>
      <c r="G69" s="15"/>
      <c r="H69" s="20">
        <f>SUM(H67:H68)</f>
        <v>5000</v>
      </c>
    </row>
    <row r="70" spans="1:8" x14ac:dyDescent="0.35">
      <c r="A70" s="18">
        <v>46054</v>
      </c>
      <c r="B70" s="15" t="s">
        <v>132</v>
      </c>
      <c r="C70" s="15"/>
      <c r="D70" s="20">
        <f>H67</f>
        <v>5000</v>
      </c>
      <c r="E70" s="18"/>
      <c r="F70" s="15"/>
      <c r="G70" s="15"/>
      <c r="H70" s="22"/>
    </row>
    <row r="71" spans="1:8" x14ac:dyDescent="0.35">
      <c r="A71" s="25"/>
      <c r="D71" s="27"/>
      <c r="E71" s="25"/>
      <c r="H71" s="26"/>
    </row>
    <row r="72" spans="1:8" x14ac:dyDescent="0.35">
      <c r="A72" s="25"/>
      <c r="D72" s="27"/>
      <c r="E72" s="25"/>
      <c r="H72" s="26"/>
    </row>
    <row r="73" spans="1:8" ht="15.5" x14ac:dyDescent="0.35">
      <c r="A73" s="16" t="s">
        <v>111</v>
      </c>
      <c r="B73" s="62" t="s">
        <v>61</v>
      </c>
      <c r="C73" s="62"/>
      <c r="D73" s="62"/>
      <c r="E73" s="62"/>
      <c r="F73" s="62"/>
      <c r="G73" s="62"/>
      <c r="H73" s="17" t="s">
        <v>114</v>
      </c>
    </row>
    <row r="74" spans="1:8" ht="15.5" x14ac:dyDescent="0.35">
      <c r="A74" s="33" t="s">
        <v>9</v>
      </c>
      <c r="B74" s="33" t="s">
        <v>10</v>
      </c>
      <c r="C74" s="33" t="s">
        <v>112</v>
      </c>
      <c r="D74" s="34" t="s">
        <v>113</v>
      </c>
      <c r="E74" s="33" t="s">
        <v>9</v>
      </c>
      <c r="F74" s="33" t="s">
        <v>10</v>
      </c>
      <c r="G74" s="33" t="s">
        <v>112</v>
      </c>
      <c r="H74" s="34" t="s">
        <v>113</v>
      </c>
    </row>
    <row r="75" spans="1:8" x14ac:dyDescent="0.35">
      <c r="A75" s="18">
        <v>46026</v>
      </c>
      <c r="B75" s="15" t="s">
        <v>134</v>
      </c>
      <c r="C75" s="15"/>
      <c r="D75" s="22">
        <v>55000</v>
      </c>
      <c r="E75" s="18">
        <v>46053</v>
      </c>
      <c r="F75" s="15" t="s">
        <v>131</v>
      </c>
      <c r="G75" s="15"/>
      <c r="H75" s="22">
        <f>D77</f>
        <v>55000</v>
      </c>
    </row>
    <row r="76" spans="1:8" x14ac:dyDescent="0.35">
      <c r="A76" s="18"/>
      <c r="B76" s="15"/>
      <c r="C76" s="15"/>
      <c r="D76" s="22"/>
      <c r="E76" s="18"/>
      <c r="F76" s="15"/>
      <c r="G76" s="15"/>
      <c r="H76" s="22"/>
    </row>
    <row r="77" spans="1:8" x14ac:dyDescent="0.35">
      <c r="A77" s="18"/>
      <c r="B77" s="15"/>
      <c r="C77" s="15"/>
      <c r="D77" s="20">
        <f>SUM(D75:D76)</f>
        <v>55000</v>
      </c>
      <c r="E77" s="18"/>
      <c r="F77" s="15"/>
      <c r="G77" s="15"/>
      <c r="H77" s="20">
        <f>SUM(H75:H76)</f>
        <v>55000</v>
      </c>
    </row>
    <row r="78" spans="1:8" x14ac:dyDescent="0.35">
      <c r="A78" s="18">
        <v>46054</v>
      </c>
      <c r="B78" s="15" t="s">
        <v>132</v>
      </c>
      <c r="C78" s="15"/>
      <c r="D78" s="20">
        <f>H75</f>
        <v>55000</v>
      </c>
      <c r="E78" s="18"/>
      <c r="F78" s="15"/>
      <c r="G78" s="15"/>
      <c r="H78" s="22"/>
    </row>
    <row r="81" spans="1:8" ht="15.5" x14ac:dyDescent="0.35">
      <c r="A81" s="16" t="s">
        <v>111</v>
      </c>
      <c r="B81" s="62" t="s">
        <v>75</v>
      </c>
      <c r="C81" s="62"/>
      <c r="D81" s="62"/>
      <c r="E81" s="62"/>
      <c r="F81" s="62"/>
      <c r="G81" s="62"/>
      <c r="H81" s="17" t="s">
        <v>114</v>
      </c>
    </row>
    <row r="82" spans="1:8" ht="15.5" x14ac:dyDescent="0.35">
      <c r="A82" s="33" t="s">
        <v>9</v>
      </c>
      <c r="B82" s="33" t="s">
        <v>10</v>
      </c>
      <c r="C82" s="33" t="s">
        <v>112</v>
      </c>
      <c r="D82" s="34" t="s">
        <v>113</v>
      </c>
      <c r="E82" s="33" t="s">
        <v>9</v>
      </c>
      <c r="F82" s="33" t="s">
        <v>10</v>
      </c>
      <c r="G82" s="33" t="s">
        <v>112</v>
      </c>
      <c r="H82" s="34" t="s">
        <v>113</v>
      </c>
    </row>
    <row r="83" spans="1:8" x14ac:dyDescent="0.35">
      <c r="A83" s="18">
        <v>46032</v>
      </c>
      <c r="B83" s="15" t="s">
        <v>128</v>
      </c>
      <c r="C83" s="15"/>
      <c r="D83" s="22">
        <v>300000</v>
      </c>
      <c r="E83" s="18">
        <v>46027</v>
      </c>
      <c r="F83" s="15" t="s">
        <v>116</v>
      </c>
      <c r="G83" s="15"/>
      <c r="H83" s="22">
        <v>120000</v>
      </c>
    </row>
    <row r="84" spans="1:8" x14ac:dyDescent="0.35">
      <c r="A84" s="18">
        <v>46053</v>
      </c>
      <c r="B84" s="15" t="s">
        <v>118</v>
      </c>
      <c r="C84" s="15"/>
      <c r="D84" s="22">
        <v>120000</v>
      </c>
      <c r="E84" s="18">
        <v>46034</v>
      </c>
      <c r="F84" s="15" t="s">
        <v>147</v>
      </c>
      <c r="G84" s="15"/>
      <c r="H84" s="22">
        <v>50000</v>
      </c>
    </row>
    <row r="85" spans="1:8" x14ac:dyDescent="0.35">
      <c r="A85" s="18"/>
      <c r="B85" s="15"/>
      <c r="C85" s="15"/>
      <c r="D85" s="22"/>
      <c r="E85" s="18">
        <v>46042</v>
      </c>
      <c r="F85" s="15" t="s">
        <v>116</v>
      </c>
      <c r="G85" s="15"/>
      <c r="H85" s="22">
        <v>250000</v>
      </c>
    </row>
    <row r="86" spans="1:8" x14ac:dyDescent="0.35">
      <c r="A86" s="18"/>
      <c r="B86" s="15"/>
      <c r="C86" s="15"/>
      <c r="D86" s="22"/>
      <c r="E86" s="18"/>
      <c r="F86" s="15"/>
      <c r="G86" s="15"/>
      <c r="H86" s="22"/>
    </row>
    <row r="87" spans="1:8" x14ac:dyDescent="0.35">
      <c r="A87" s="18"/>
      <c r="B87" s="15"/>
      <c r="C87" s="15"/>
      <c r="D87" s="20">
        <f>SUM(D83:D86)</f>
        <v>420000</v>
      </c>
      <c r="E87" s="18"/>
      <c r="F87" s="15"/>
      <c r="G87" s="15"/>
      <c r="H87" s="20">
        <f>SUM(H83:H86)</f>
        <v>420000</v>
      </c>
    </row>
    <row r="88" spans="1:8" x14ac:dyDescent="0.35">
      <c r="A88" s="18"/>
      <c r="B88" s="15"/>
      <c r="C88" s="15"/>
      <c r="D88" s="22"/>
      <c r="E88" s="18">
        <v>46054</v>
      </c>
      <c r="F88" s="15" t="s">
        <v>119</v>
      </c>
      <c r="G88" s="15"/>
      <c r="H88" s="20">
        <f>D84</f>
        <v>120000</v>
      </c>
    </row>
    <row r="91" spans="1:8" ht="15.5" x14ac:dyDescent="0.35">
      <c r="A91" s="16" t="s">
        <v>111</v>
      </c>
      <c r="B91" s="62" t="s">
        <v>65</v>
      </c>
      <c r="C91" s="62"/>
      <c r="D91" s="62"/>
      <c r="E91" s="62"/>
      <c r="F91" s="62"/>
      <c r="G91" s="62"/>
      <c r="H91" s="17" t="s">
        <v>114</v>
      </c>
    </row>
    <row r="92" spans="1:8" ht="15.5" x14ac:dyDescent="0.35">
      <c r="A92" s="33" t="s">
        <v>9</v>
      </c>
      <c r="B92" s="33" t="s">
        <v>10</v>
      </c>
      <c r="C92" s="33" t="s">
        <v>112</v>
      </c>
      <c r="D92" s="34" t="s">
        <v>113</v>
      </c>
      <c r="E92" s="33" t="s">
        <v>9</v>
      </c>
      <c r="F92" s="33" t="s">
        <v>10</v>
      </c>
      <c r="G92" s="33" t="s">
        <v>112</v>
      </c>
      <c r="H92" s="34" t="s">
        <v>113</v>
      </c>
    </row>
    <row r="93" spans="1:8" x14ac:dyDescent="0.35">
      <c r="A93" s="18">
        <v>46028</v>
      </c>
      <c r="B93" s="15" t="s">
        <v>129</v>
      </c>
      <c r="C93" s="15"/>
      <c r="D93" s="22">
        <v>42000</v>
      </c>
      <c r="E93" s="18">
        <v>46053</v>
      </c>
      <c r="F93" s="15" t="s">
        <v>131</v>
      </c>
      <c r="G93" s="15"/>
      <c r="H93" s="22">
        <f>D95</f>
        <v>42000</v>
      </c>
    </row>
    <row r="94" spans="1:8" x14ac:dyDescent="0.35">
      <c r="A94" s="18"/>
      <c r="B94" s="15"/>
      <c r="C94" s="15"/>
      <c r="D94" s="22"/>
      <c r="E94" s="18"/>
      <c r="F94" s="15"/>
      <c r="G94" s="15"/>
      <c r="H94" s="22"/>
    </row>
    <row r="95" spans="1:8" x14ac:dyDescent="0.35">
      <c r="A95" s="18"/>
      <c r="B95" s="15"/>
      <c r="C95" s="15"/>
      <c r="D95" s="20">
        <f>SUM(D93:D94)</f>
        <v>42000</v>
      </c>
      <c r="E95" s="18"/>
      <c r="F95" s="15"/>
      <c r="G95" s="15"/>
      <c r="H95" s="20">
        <f>SUM(H93:H94)</f>
        <v>42000</v>
      </c>
    </row>
    <row r="96" spans="1:8" x14ac:dyDescent="0.35">
      <c r="A96" s="18">
        <v>46054</v>
      </c>
      <c r="B96" s="15" t="s">
        <v>132</v>
      </c>
      <c r="C96" s="15"/>
      <c r="D96" s="20">
        <f>H93</f>
        <v>42000</v>
      </c>
      <c r="E96" s="18"/>
      <c r="F96" s="15"/>
      <c r="G96" s="15"/>
      <c r="H96" s="22"/>
    </row>
    <row r="99" spans="1:8" ht="15.5" x14ac:dyDescent="0.35">
      <c r="A99" s="16" t="s">
        <v>111</v>
      </c>
      <c r="B99" s="62" t="s">
        <v>68</v>
      </c>
      <c r="C99" s="62"/>
      <c r="D99" s="62"/>
      <c r="E99" s="62"/>
      <c r="F99" s="62"/>
      <c r="G99" s="62"/>
      <c r="H99" s="17" t="s">
        <v>114</v>
      </c>
    </row>
    <row r="100" spans="1:8" ht="15.5" x14ac:dyDescent="0.35">
      <c r="A100" s="33" t="s">
        <v>9</v>
      </c>
      <c r="B100" s="33" t="s">
        <v>10</v>
      </c>
      <c r="C100" s="33" t="s">
        <v>112</v>
      </c>
      <c r="D100" s="34" t="s">
        <v>113</v>
      </c>
      <c r="E100" s="33" t="s">
        <v>9</v>
      </c>
      <c r="F100" s="33" t="s">
        <v>10</v>
      </c>
      <c r="G100" s="33" t="s">
        <v>112</v>
      </c>
      <c r="H100" s="34" t="s">
        <v>113</v>
      </c>
    </row>
    <row r="101" spans="1:8" x14ac:dyDescent="0.35">
      <c r="A101" s="18">
        <v>46029</v>
      </c>
      <c r="B101" s="15" t="s">
        <v>134</v>
      </c>
      <c r="C101" s="15"/>
      <c r="D101" s="22">
        <v>20000</v>
      </c>
      <c r="E101" s="18">
        <v>46053</v>
      </c>
      <c r="F101" s="15" t="s">
        <v>131</v>
      </c>
      <c r="G101" s="15"/>
      <c r="H101" s="22">
        <f>D103</f>
        <v>20000</v>
      </c>
    </row>
    <row r="102" spans="1:8" x14ac:dyDescent="0.35">
      <c r="A102" s="18"/>
      <c r="B102" s="15"/>
      <c r="C102" s="15"/>
      <c r="D102" s="22"/>
      <c r="E102" s="18"/>
      <c r="F102" s="15"/>
      <c r="G102" s="15"/>
      <c r="H102" s="22"/>
    </row>
    <row r="103" spans="1:8" x14ac:dyDescent="0.35">
      <c r="A103" s="18"/>
      <c r="B103" s="15"/>
      <c r="C103" s="15"/>
      <c r="D103" s="20">
        <f>SUM(D101:D102)</f>
        <v>20000</v>
      </c>
      <c r="E103" s="18"/>
      <c r="F103" s="15"/>
      <c r="G103" s="15"/>
      <c r="H103" s="20">
        <f>SUM(H101:H102)</f>
        <v>20000</v>
      </c>
    </row>
    <row r="104" spans="1:8" x14ac:dyDescent="0.35">
      <c r="A104" s="18">
        <v>46054</v>
      </c>
      <c r="B104" s="15" t="s">
        <v>132</v>
      </c>
      <c r="C104" s="15"/>
      <c r="D104" s="20">
        <f>H101</f>
        <v>20000</v>
      </c>
      <c r="E104" s="18"/>
      <c r="F104" s="15"/>
      <c r="G104" s="15"/>
      <c r="H104" s="22"/>
    </row>
    <row r="107" spans="1:8" ht="15.5" x14ac:dyDescent="0.35">
      <c r="A107" s="16" t="s">
        <v>111</v>
      </c>
      <c r="B107" s="62" t="s">
        <v>148</v>
      </c>
      <c r="C107" s="62"/>
      <c r="D107" s="62"/>
      <c r="E107" s="62"/>
      <c r="F107" s="62"/>
      <c r="G107" s="62"/>
      <c r="H107" s="17" t="s">
        <v>114</v>
      </c>
    </row>
    <row r="108" spans="1:8" ht="15.5" x14ac:dyDescent="0.35">
      <c r="A108" s="33" t="s">
        <v>9</v>
      </c>
      <c r="B108" s="33" t="s">
        <v>10</v>
      </c>
      <c r="C108" s="33" t="s">
        <v>112</v>
      </c>
      <c r="D108" s="34" t="s">
        <v>113</v>
      </c>
      <c r="E108" s="33" t="s">
        <v>9</v>
      </c>
      <c r="F108" s="33" t="s">
        <v>10</v>
      </c>
      <c r="G108" s="33" t="s">
        <v>112</v>
      </c>
      <c r="H108" s="34" t="s">
        <v>113</v>
      </c>
    </row>
    <row r="109" spans="1:8" x14ac:dyDescent="0.35">
      <c r="A109" s="14">
        <v>46030</v>
      </c>
      <c r="B109" s="15" t="s">
        <v>134</v>
      </c>
      <c r="C109" s="15"/>
      <c r="D109" s="22">
        <v>10000</v>
      </c>
      <c r="E109" s="18">
        <v>46053</v>
      </c>
      <c r="F109" s="15" t="s">
        <v>131</v>
      </c>
      <c r="G109" s="15"/>
      <c r="H109" s="22">
        <f>D111</f>
        <v>10000</v>
      </c>
    </row>
    <row r="110" spans="1:8" x14ac:dyDescent="0.35">
      <c r="A110" s="18"/>
      <c r="B110" s="15"/>
      <c r="C110" s="15"/>
      <c r="D110" s="22"/>
      <c r="E110" s="18"/>
      <c r="F110" s="15"/>
      <c r="G110" s="15"/>
      <c r="H110" s="22"/>
    </row>
    <row r="111" spans="1:8" x14ac:dyDescent="0.35">
      <c r="A111" s="18"/>
      <c r="B111" s="15"/>
      <c r="C111" s="15"/>
      <c r="D111" s="20">
        <f>SUM(D109:D110)</f>
        <v>10000</v>
      </c>
      <c r="E111" s="18"/>
      <c r="F111" s="15"/>
      <c r="G111" s="15"/>
      <c r="H111" s="20">
        <f>SUM(H109:H110)</f>
        <v>10000</v>
      </c>
    </row>
    <row r="112" spans="1:8" x14ac:dyDescent="0.35">
      <c r="A112" s="18">
        <v>46054</v>
      </c>
      <c r="B112" s="15" t="s">
        <v>132</v>
      </c>
      <c r="C112" s="15"/>
      <c r="D112" s="20">
        <f>H109</f>
        <v>10000</v>
      </c>
      <c r="E112" s="18"/>
      <c r="F112" s="15"/>
      <c r="G112" s="15"/>
      <c r="H112" s="22"/>
    </row>
    <row r="115" spans="1:8" ht="15.5" x14ac:dyDescent="0.35">
      <c r="A115" s="16" t="s">
        <v>111</v>
      </c>
      <c r="B115" s="62" t="s">
        <v>149</v>
      </c>
      <c r="C115" s="62"/>
      <c r="D115" s="62"/>
      <c r="E115" s="62"/>
      <c r="F115" s="62"/>
      <c r="G115" s="62"/>
      <c r="H115" s="17" t="s">
        <v>114</v>
      </c>
    </row>
    <row r="116" spans="1:8" ht="15.5" x14ac:dyDescent="0.35">
      <c r="A116" s="33" t="s">
        <v>9</v>
      </c>
      <c r="B116" s="33" t="s">
        <v>10</v>
      </c>
      <c r="C116" s="33" t="s">
        <v>112</v>
      </c>
      <c r="D116" s="34" t="s">
        <v>113</v>
      </c>
      <c r="E116" s="33" t="s">
        <v>9</v>
      </c>
      <c r="F116" s="33" t="s">
        <v>10</v>
      </c>
      <c r="G116" s="33" t="s">
        <v>112</v>
      </c>
      <c r="H116" s="34" t="s">
        <v>113</v>
      </c>
    </row>
    <row r="117" spans="1:8" x14ac:dyDescent="0.35">
      <c r="A117" s="18">
        <v>46053</v>
      </c>
      <c r="B117" s="15" t="s">
        <v>118</v>
      </c>
      <c r="C117" s="15"/>
      <c r="D117" s="22">
        <f>H117</f>
        <v>30000</v>
      </c>
      <c r="E117" s="18">
        <v>46031</v>
      </c>
      <c r="F117" s="15" t="s">
        <v>137</v>
      </c>
      <c r="G117" s="15"/>
      <c r="H117" s="22">
        <v>30000</v>
      </c>
    </row>
    <row r="118" spans="1:8" x14ac:dyDescent="0.35">
      <c r="A118" s="18"/>
      <c r="B118" s="15"/>
      <c r="C118" s="15"/>
      <c r="D118" s="22"/>
      <c r="E118" s="18"/>
      <c r="F118" s="15"/>
      <c r="G118" s="15"/>
      <c r="H118" s="22"/>
    </row>
    <row r="119" spans="1:8" x14ac:dyDescent="0.35">
      <c r="A119" s="18"/>
      <c r="B119" s="15"/>
      <c r="C119" s="15"/>
      <c r="D119" s="20">
        <f>SUM(D117:D118)</f>
        <v>30000</v>
      </c>
      <c r="E119" s="18"/>
      <c r="F119" s="15"/>
      <c r="G119" s="15"/>
      <c r="H119" s="20">
        <f>SUM(H117:H118)</f>
        <v>30000</v>
      </c>
    </row>
    <row r="120" spans="1:8" x14ac:dyDescent="0.35">
      <c r="A120" s="18"/>
      <c r="B120" s="15"/>
      <c r="C120" s="15"/>
      <c r="D120" s="22"/>
      <c r="E120" s="18">
        <v>46054</v>
      </c>
      <c r="F120" s="15" t="s">
        <v>119</v>
      </c>
      <c r="G120" s="15"/>
      <c r="H120" s="20">
        <f>D117</f>
        <v>30000</v>
      </c>
    </row>
    <row r="123" spans="1:8" ht="15.5" x14ac:dyDescent="0.35">
      <c r="A123" s="16" t="s">
        <v>111</v>
      </c>
      <c r="B123" s="62" t="s">
        <v>150</v>
      </c>
      <c r="C123" s="62"/>
      <c r="D123" s="62"/>
      <c r="E123" s="62"/>
      <c r="F123" s="62"/>
      <c r="G123" s="62"/>
      <c r="H123" s="17" t="s">
        <v>114</v>
      </c>
    </row>
    <row r="124" spans="1:8" ht="15.5" x14ac:dyDescent="0.35">
      <c r="A124" s="33" t="s">
        <v>9</v>
      </c>
      <c r="B124" s="33" t="s">
        <v>10</v>
      </c>
      <c r="C124" s="33" t="s">
        <v>112</v>
      </c>
      <c r="D124" s="34" t="s">
        <v>113</v>
      </c>
      <c r="E124" s="33" t="s">
        <v>9</v>
      </c>
      <c r="F124" s="33" t="s">
        <v>10</v>
      </c>
      <c r="G124" s="33" t="s">
        <v>112</v>
      </c>
      <c r="H124" s="34" t="s">
        <v>113</v>
      </c>
    </row>
    <row r="125" spans="1:8" x14ac:dyDescent="0.35">
      <c r="A125" s="18">
        <v>46053</v>
      </c>
      <c r="B125" s="15" t="s">
        <v>118</v>
      </c>
      <c r="C125" s="15"/>
      <c r="D125" s="22">
        <f>H129</f>
        <v>660000</v>
      </c>
      <c r="E125" s="18">
        <v>46032</v>
      </c>
      <c r="F125" s="15" t="s">
        <v>151</v>
      </c>
      <c r="G125" s="15"/>
      <c r="H125" s="22">
        <v>300000</v>
      </c>
    </row>
    <row r="126" spans="1:8" x14ac:dyDescent="0.35">
      <c r="A126" s="18"/>
      <c r="B126" s="15"/>
      <c r="C126" s="15"/>
      <c r="D126" s="22"/>
      <c r="E126" s="18">
        <v>46037</v>
      </c>
      <c r="F126" s="15" t="s">
        <v>116</v>
      </c>
      <c r="G126" s="15"/>
      <c r="H126" s="22">
        <v>80000</v>
      </c>
    </row>
    <row r="127" spans="1:8" x14ac:dyDescent="0.35">
      <c r="A127" s="18"/>
      <c r="B127" s="15"/>
      <c r="C127" s="15"/>
      <c r="D127" s="22"/>
      <c r="E127" s="18">
        <v>46046</v>
      </c>
      <c r="F127" s="15" t="s">
        <v>152</v>
      </c>
      <c r="G127" s="15"/>
      <c r="H127" s="22">
        <v>280000</v>
      </c>
    </row>
    <row r="128" spans="1:8" x14ac:dyDescent="0.35">
      <c r="A128" s="18"/>
      <c r="B128" s="15"/>
      <c r="C128" s="15"/>
      <c r="D128" s="22"/>
      <c r="E128" s="18"/>
      <c r="F128" s="15"/>
      <c r="G128" s="15"/>
      <c r="H128" s="22"/>
    </row>
    <row r="129" spans="1:8" x14ac:dyDescent="0.35">
      <c r="A129" s="18"/>
      <c r="B129" s="15"/>
      <c r="C129" s="15"/>
      <c r="D129" s="20">
        <f>SUM(D125:D128)</f>
        <v>660000</v>
      </c>
      <c r="E129" s="18"/>
      <c r="F129" s="15"/>
      <c r="G129" s="15"/>
      <c r="H129" s="20">
        <f>SUM(H125:H128)</f>
        <v>660000</v>
      </c>
    </row>
    <row r="130" spans="1:8" x14ac:dyDescent="0.35">
      <c r="A130" s="18"/>
      <c r="B130" s="15"/>
      <c r="C130" s="15"/>
      <c r="D130" s="22"/>
      <c r="E130" s="18">
        <v>46054</v>
      </c>
      <c r="F130" s="15" t="s">
        <v>119</v>
      </c>
      <c r="G130" s="15"/>
      <c r="H130" s="20">
        <f>D125</f>
        <v>660000</v>
      </c>
    </row>
    <row r="133" spans="1:8" ht="15.5" x14ac:dyDescent="0.35">
      <c r="A133" s="16" t="s">
        <v>111</v>
      </c>
      <c r="B133" s="62" t="s">
        <v>153</v>
      </c>
      <c r="C133" s="62"/>
      <c r="D133" s="62"/>
      <c r="E133" s="62"/>
      <c r="F133" s="62"/>
      <c r="G133" s="62"/>
      <c r="H133" s="17" t="s">
        <v>114</v>
      </c>
    </row>
    <row r="134" spans="1:8" ht="15.5" x14ac:dyDescent="0.35">
      <c r="A134" s="33" t="s">
        <v>9</v>
      </c>
      <c r="B134" s="33" t="s">
        <v>10</v>
      </c>
      <c r="C134" s="33" t="s">
        <v>112</v>
      </c>
      <c r="D134" s="34" t="s">
        <v>113</v>
      </c>
      <c r="E134" s="33" t="s">
        <v>9</v>
      </c>
      <c r="F134" s="33" t="s">
        <v>10</v>
      </c>
      <c r="G134" s="33" t="s">
        <v>112</v>
      </c>
      <c r="H134" s="34" t="s">
        <v>113</v>
      </c>
    </row>
    <row r="135" spans="1:8" x14ac:dyDescent="0.35">
      <c r="A135" s="14">
        <v>46033</v>
      </c>
      <c r="B135" s="15" t="s">
        <v>134</v>
      </c>
      <c r="C135" s="15"/>
      <c r="D135" s="22">
        <v>15000</v>
      </c>
      <c r="E135" s="18">
        <v>46053</v>
      </c>
      <c r="F135" s="15" t="s">
        <v>131</v>
      </c>
      <c r="G135" s="15"/>
      <c r="H135" s="22">
        <f>D137</f>
        <v>15000</v>
      </c>
    </row>
    <row r="136" spans="1:8" x14ac:dyDescent="0.35">
      <c r="A136" s="18"/>
      <c r="B136" s="15"/>
      <c r="C136" s="15"/>
      <c r="D136" s="22"/>
      <c r="E136" s="18"/>
      <c r="F136" s="15"/>
      <c r="G136" s="15"/>
      <c r="H136" s="22"/>
    </row>
    <row r="137" spans="1:8" x14ac:dyDescent="0.35">
      <c r="A137" s="18"/>
      <c r="B137" s="15"/>
      <c r="C137" s="15"/>
      <c r="D137" s="20">
        <f>SUM(D135:D136)</f>
        <v>15000</v>
      </c>
      <c r="E137" s="18"/>
      <c r="F137" s="15"/>
      <c r="G137" s="15"/>
      <c r="H137" s="20">
        <f>SUM(H135:H136)</f>
        <v>15000</v>
      </c>
    </row>
    <row r="138" spans="1:8" x14ac:dyDescent="0.35">
      <c r="A138" s="18">
        <v>46054</v>
      </c>
      <c r="B138" s="15" t="s">
        <v>132</v>
      </c>
      <c r="C138" s="15"/>
      <c r="D138" s="20">
        <f>H135</f>
        <v>15000</v>
      </c>
      <c r="E138" s="18"/>
      <c r="F138" s="15"/>
      <c r="G138" s="15"/>
      <c r="H138" s="22"/>
    </row>
    <row r="141" spans="1:8" ht="15.5" x14ac:dyDescent="0.35">
      <c r="A141" s="16" t="s">
        <v>111</v>
      </c>
      <c r="B141" s="62" t="s">
        <v>80</v>
      </c>
      <c r="C141" s="62"/>
      <c r="D141" s="62"/>
      <c r="E141" s="62"/>
      <c r="F141" s="62"/>
      <c r="G141" s="62"/>
      <c r="H141" s="17" t="s">
        <v>114</v>
      </c>
    </row>
    <row r="142" spans="1:8" ht="15.5" x14ac:dyDescent="0.35">
      <c r="A142" s="33" t="s">
        <v>9</v>
      </c>
      <c r="B142" s="33" t="s">
        <v>10</v>
      </c>
      <c r="C142" s="33" t="s">
        <v>112</v>
      </c>
      <c r="D142" s="34" t="s">
        <v>113</v>
      </c>
      <c r="E142" s="33" t="s">
        <v>9</v>
      </c>
      <c r="F142" s="33" t="s">
        <v>10</v>
      </c>
      <c r="G142" s="33" t="s">
        <v>112</v>
      </c>
      <c r="H142" s="34" t="s">
        <v>113</v>
      </c>
    </row>
    <row r="143" spans="1:8" x14ac:dyDescent="0.35">
      <c r="A143" s="14">
        <v>46034</v>
      </c>
      <c r="B143" s="15" t="s">
        <v>154</v>
      </c>
      <c r="C143" s="15"/>
      <c r="D143" s="22">
        <v>50000</v>
      </c>
      <c r="E143" s="18">
        <v>46053</v>
      </c>
      <c r="F143" s="15" t="s">
        <v>131</v>
      </c>
      <c r="G143" s="15"/>
      <c r="H143" s="22">
        <f>D145</f>
        <v>50000</v>
      </c>
    </row>
    <row r="144" spans="1:8" x14ac:dyDescent="0.35">
      <c r="A144" s="18"/>
      <c r="B144" s="15"/>
      <c r="C144" s="15"/>
      <c r="D144" s="22"/>
      <c r="E144" s="18"/>
      <c r="F144" s="15"/>
      <c r="G144" s="15"/>
      <c r="H144" s="22"/>
    </row>
    <row r="145" spans="1:8" x14ac:dyDescent="0.35">
      <c r="A145" s="18"/>
      <c r="B145" s="15"/>
      <c r="C145" s="15"/>
      <c r="D145" s="20">
        <f>SUM(D143:D144)</f>
        <v>50000</v>
      </c>
      <c r="E145" s="18"/>
      <c r="F145" s="15"/>
      <c r="G145" s="15"/>
      <c r="H145" s="20">
        <f>SUM(H143:H144)</f>
        <v>50000</v>
      </c>
    </row>
    <row r="146" spans="1:8" x14ac:dyDescent="0.35">
      <c r="A146" s="18">
        <v>46054</v>
      </c>
      <c r="B146" s="15" t="s">
        <v>132</v>
      </c>
      <c r="C146" s="15"/>
      <c r="D146" s="20">
        <f>H143</f>
        <v>50000</v>
      </c>
      <c r="E146" s="18"/>
      <c r="F146" s="15"/>
      <c r="G146" s="15"/>
      <c r="H146" s="22"/>
    </row>
    <row r="149" spans="1:8" ht="15.5" x14ac:dyDescent="0.35">
      <c r="A149" s="16" t="s">
        <v>111</v>
      </c>
      <c r="B149" s="62" t="s">
        <v>86</v>
      </c>
      <c r="C149" s="62"/>
      <c r="D149" s="62"/>
      <c r="E149" s="62"/>
      <c r="F149" s="62"/>
      <c r="G149" s="62"/>
      <c r="H149" s="17" t="s">
        <v>114</v>
      </c>
    </row>
    <row r="150" spans="1:8" ht="15.5" x14ac:dyDescent="0.35">
      <c r="A150" s="33" t="s">
        <v>9</v>
      </c>
      <c r="B150" s="33" t="s">
        <v>10</v>
      </c>
      <c r="C150" s="33" t="s">
        <v>112</v>
      </c>
      <c r="D150" s="34" t="s">
        <v>113</v>
      </c>
      <c r="E150" s="33" t="s">
        <v>9</v>
      </c>
      <c r="F150" s="33" t="s">
        <v>10</v>
      </c>
      <c r="G150" s="33" t="s">
        <v>112</v>
      </c>
      <c r="H150" s="34" t="s">
        <v>113</v>
      </c>
    </row>
    <row r="151" spans="1:8" x14ac:dyDescent="0.35">
      <c r="A151" s="14">
        <v>46039</v>
      </c>
      <c r="B151" s="15" t="s">
        <v>129</v>
      </c>
      <c r="C151" s="15"/>
      <c r="D151" s="22">
        <v>25000</v>
      </c>
      <c r="E151" s="18">
        <v>46053</v>
      </c>
      <c r="F151" s="15" t="s">
        <v>131</v>
      </c>
      <c r="G151" s="15"/>
      <c r="H151" s="22">
        <f>D153</f>
        <v>25000</v>
      </c>
    </row>
    <row r="152" spans="1:8" x14ac:dyDescent="0.35">
      <c r="A152" s="18"/>
      <c r="B152" s="15"/>
      <c r="C152" s="15"/>
      <c r="D152" s="22"/>
      <c r="E152" s="18"/>
      <c r="F152" s="15"/>
      <c r="G152" s="15"/>
      <c r="H152" s="22"/>
    </row>
    <row r="153" spans="1:8" x14ac:dyDescent="0.35">
      <c r="A153" s="18"/>
      <c r="B153" s="15"/>
      <c r="C153" s="15"/>
      <c r="D153" s="20">
        <f>SUM(D151:D152)</f>
        <v>25000</v>
      </c>
      <c r="E153" s="18"/>
      <c r="F153" s="15"/>
      <c r="G153" s="15"/>
      <c r="H153" s="20">
        <f>SUM(H151:H152)</f>
        <v>25000</v>
      </c>
    </row>
    <row r="154" spans="1:8" x14ac:dyDescent="0.35">
      <c r="A154" s="18">
        <v>46054</v>
      </c>
      <c r="B154" s="15" t="s">
        <v>132</v>
      </c>
      <c r="C154" s="15"/>
      <c r="D154" s="20">
        <f>H151</f>
        <v>25000</v>
      </c>
      <c r="E154" s="18"/>
      <c r="F154" s="15"/>
      <c r="G154" s="15"/>
      <c r="H154" s="22"/>
    </row>
    <row r="157" spans="1:8" ht="15.5" x14ac:dyDescent="0.35">
      <c r="A157" s="16" t="s">
        <v>111</v>
      </c>
      <c r="B157" s="62" t="s">
        <v>155</v>
      </c>
      <c r="C157" s="62"/>
      <c r="D157" s="62"/>
      <c r="E157" s="62"/>
      <c r="F157" s="62"/>
      <c r="G157" s="62"/>
      <c r="H157" s="17" t="s">
        <v>114</v>
      </c>
    </row>
    <row r="158" spans="1:8" ht="15.5" x14ac:dyDescent="0.35">
      <c r="A158" s="33" t="s">
        <v>9</v>
      </c>
      <c r="B158" s="33" t="s">
        <v>10</v>
      </c>
      <c r="C158" s="33" t="s">
        <v>112</v>
      </c>
      <c r="D158" s="34" t="s">
        <v>113</v>
      </c>
      <c r="E158" s="33" t="s">
        <v>9</v>
      </c>
      <c r="F158" s="33" t="s">
        <v>10</v>
      </c>
      <c r="G158" s="33" t="s">
        <v>112</v>
      </c>
      <c r="H158" s="34" t="s">
        <v>113</v>
      </c>
    </row>
    <row r="159" spans="1:8" x14ac:dyDescent="0.35">
      <c r="A159" s="14">
        <v>46040</v>
      </c>
      <c r="B159" s="15" t="s">
        <v>129</v>
      </c>
      <c r="C159" s="15"/>
      <c r="D159" s="22">
        <v>30000</v>
      </c>
      <c r="E159" s="18">
        <v>46053</v>
      </c>
      <c r="F159" s="15" t="s">
        <v>131</v>
      </c>
      <c r="G159" s="15"/>
      <c r="H159" s="22">
        <f>D161</f>
        <v>30000</v>
      </c>
    </row>
    <row r="160" spans="1:8" x14ac:dyDescent="0.35">
      <c r="A160" s="18"/>
      <c r="B160" s="15"/>
      <c r="C160" s="15"/>
      <c r="D160" s="22"/>
      <c r="E160" s="18"/>
      <c r="F160" s="15"/>
      <c r="G160" s="15"/>
      <c r="H160" s="22"/>
    </row>
    <row r="161" spans="1:8" x14ac:dyDescent="0.35">
      <c r="A161" s="18"/>
      <c r="B161" s="15"/>
      <c r="C161" s="15"/>
      <c r="D161" s="20">
        <f>SUM(D159:D160)</f>
        <v>30000</v>
      </c>
      <c r="E161" s="18"/>
      <c r="F161" s="15"/>
      <c r="G161" s="15"/>
      <c r="H161" s="20">
        <f>SUM(H159:H160)</f>
        <v>30000</v>
      </c>
    </row>
    <row r="162" spans="1:8" x14ac:dyDescent="0.35">
      <c r="A162" s="18">
        <v>46054</v>
      </c>
      <c r="B162" s="15" t="s">
        <v>132</v>
      </c>
      <c r="C162" s="15"/>
      <c r="D162" s="20">
        <f>H159</f>
        <v>30000</v>
      </c>
      <c r="E162" s="18"/>
      <c r="F162" s="15"/>
      <c r="G162" s="15"/>
      <c r="H162" s="22"/>
    </row>
    <row r="165" spans="1:8" ht="15.5" x14ac:dyDescent="0.35">
      <c r="A165" s="16" t="s">
        <v>111</v>
      </c>
      <c r="B165" s="62" t="s">
        <v>92</v>
      </c>
      <c r="C165" s="62"/>
      <c r="D165" s="62"/>
      <c r="E165" s="62"/>
      <c r="F165" s="62"/>
      <c r="G165" s="62"/>
      <c r="H165" s="17" t="s">
        <v>114</v>
      </c>
    </row>
    <row r="166" spans="1:8" ht="15.5" x14ac:dyDescent="0.35">
      <c r="A166" s="33" t="s">
        <v>9</v>
      </c>
      <c r="B166" s="33" t="s">
        <v>10</v>
      </c>
      <c r="C166" s="33" t="s">
        <v>112</v>
      </c>
      <c r="D166" s="34" t="s">
        <v>113</v>
      </c>
      <c r="E166" s="33" t="s">
        <v>9</v>
      </c>
      <c r="F166" s="33" t="s">
        <v>10</v>
      </c>
      <c r="G166" s="33" t="s">
        <v>112</v>
      </c>
      <c r="H166" s="34" t="s">
        <v>113</v>
      </c>
    </row>
    <row r="167" spans="1:8" x14ac:dyDescent="0.35">
      <c r="A167" s="14">
        <v>46043</v>
      </c>
      <c r="B167" s="15" t="s">
        <v>129</v>
      </c>
      <c r="C167" s="15"/>
      <c r="D167" s="22">
        <v>213000</v>
      </c>
      <c r="E167" s="18">
        <v>46053</v>
      </c>
      <c r="F167" s="15" t="s">
        <v>131</v>
      </c>
      <c r="G167" s="15"/>
      <c r="H167" s="22">
        <f>D169</f>
        <v>213000</v>
      </c>
    </row>
    <row r="168" spans="1:8" x14ac:dyDescent="0.35">
      <c r="A168" s="18"/>
      <c r="B168" s="15"/>
      <c r="C168" s="15"/>
      <c r="D168" s="22"/>
      <c r="E168" s="18"/>
      <c r="F168" s="15"/>
      <c r="G168" s="15"/>
      <c r="H168" s="22"/>
    </row>
    <row r="169" spans="1:8" x14ac:dyDescent="0.35">
      <c r="A169" s="18"/>
      <c r="B169" s="15"/>
      <c r="C169" s="15"/>
      <c r="D169" s="20">
        <f>SUM(D167:D168)</f>
        <v>213000</v>
      </c>
      <c r="E169" s="18"/>
      <c r="F169" s="15"/>
      <c r="G169" s="15"/>
      <c r="H169" s="20">
        <f>SUM(H167:H168)</f>
        <v>213000</v>
      </c>
    </row>
    <row r="170" spans="1:8" x14ac:dyDescent="0.35">
      <c r="A170" s="18">
        <v>46054</v>
      </c>
      <c r="B170" s="15" t="s">
        <v>132</v>
      </c>
      <c r="C170" s="15"/>
      <c r="D170" s="20">
        <f>H167</f>
        <v>213000</v>
      </c>
      <c r="E170" s="18"/>
      <c r="F170" s="15"/>
      <c r="G170" s="15"/>
      <c r="H170" s="22"/>
    </row>
    <row r="173" spans="1:8" ht="15.5" x14ac:dyDescent="0.35">
      <c r="A173" s="16" t="s">
        <v>111</v>
      </c>
      <c r="B173" s="62" t="s">
        <v>156</v>
      </c>
      <c r="C173" s="62"/>
      <c r="D173" s="62"/>
      <c r="E173" s="62"/>
      <c r="F173" s="62"/>
      <c r="G173" s="62"/>
      <c r="H173" s="17" t="s">
        <v>114</v>
      </c>
    </row>
    <row r="174" spans="1:8" ht="15.5" x14ac:dyDescent="0.35">
      <c r="A174" s="33" t="s">
        <v>9</v>
      </c>
      <c r="B174" s="33" t="s">
        <v>10</v>
      </c>
      <c r="C174" s="33" t="s">
        <v>112</v>
      </c>
      <c r="D174" s="34" t="s">
        <v>113</v>
      </c>
      <c r="E174" s="33" t="s">
        <v>9</v>
      </c>
      <c r="F174" s="33" t="s">
        <v>10</v>
      </c>
      <c r="G174" s="33" t="s">
        <v>112</v>
      </c>
      <c r="H174" s="34" t="s">
        <v>113</v>
      </c>
    </row>
    <row r="175" spans="1:8" x14ac:dyDescent="0.35">
      <c r="A175" s="14">
        <v>46045</v>
      </c>
      <c r="B175" s="15" t="s">
        <v>134</v>
      </c>
      <c r="C175" s="15"/>
      <c r="D175" s="22">
        <v>8000</v>
      </c>
      <c r="E175" s="18">
        <v>46053</v>
      </c>
      <c r="F175" s="15" t="s">
        <v>131</v>
      </c>
      <c r="G175" s="15"/>
      <c r="H175" s="22">
        <f>D177</f>
        <v>8000</v>
      </c>
    </row>
    <row r="176" spans="1:8" x14ac:dyDescent="0.35">
      <c r="A176" s="18"/>
      <c r="B176" s="15"/>
      <c r="C176" s="15"/>
      <c r="D176" s="22"/>
      <c r="E176" s="18"/>
      <c r="F176" s="15"/>
      <c r="G176" s="15"/>
      <c r="H176" s="22"/>
    </row>
    <row r="177" spans="1:10" x14ac:dyDescent="0.35">
      <c r="A177" s="18"/>
      <c r="B177" s="15"/>
      <c r="C177" s="15"/>
      <c r="D177" s="20">
        <f>SUM(D175:D176)</f>
        <v>8000</v>
      </c>
      <c r="E177" s="18"/>
      <c r="F177" s="15"/>
      <c r="G177" s="15"/>
      <c r="H177" s="20">
        <f>SUM(H175:H176)</f>
        <v>8000</v>
      </c>
    </row>
    <row r="178" spans="1:10" x14ac:dyDescent="0.35">
      <c r="A178" s="18">
        <v>46054</v>
      </c>
      <c r="B178" s="15" t="s">
        <v>132</v>
      </c>
      <c r="C178" s="15"/>
      <c r="D178" s="20">
        <f>H175</f>
        <v>8000</v>
      </c>
      <c r="E178" s="18"/>
      <c r="F178" s="15"/>
      <c r="G178" s="15"/>
      <c r="H178" s="22"/>
    </row>
    <row r="181" spans="1:10" ht="15.5" x14ac:dyDescent="0.35">
      <c r="A181" s="16" t="s">
        <v>111</v>
      </c>
      <c r="B181" s="62" t="s">
        <v>97</v>
      </c>
      <c r="C181" s="62"/>
      <c r="D181" s="62"/>
      <c r="E181" s="62"/>
      <c r="F181" s="62"/>
      <c r="G181" s="62"/>
      <c r="H181" s="17" t="s">
        <v>114</v>
      </c>
    </row>
    <row r="182" spans="1:10" ht="15.5" x14ac:dyDescent="0.35">
      <c r="A182" s="33" t="s">
        <v>9</v>
      </c>
      <c r="B182" s="33" t="s">
        <v>10</v>
      </c>
      <c r="C182" s="33" t="s">
        <v>112</v>
      </c>
      <c r="D182" s="34" t="s">
        <v>113</v>
      </c>
      <c r="E182" s="33" t="s">
        <v>9</v>
      </c>
      <c r="F182" s="33" t="s">
        <v>10</v>
      </c>
      <c r="G182" s="33" t="s">
        <v>112</v>
      </c>
      <c r="H182" s="34" t="s">
        <v>113</v>
      </c>
    </row>
    <row r="183" spans="1:10" x14ac:dyDescent="0.35">
      <c r="A183" s="14">
        <v>46046</v>
      </c>
      <c r="B183" s="15" t="s">
        <v>128</v>
      </c>
      <c r="C183" s="15"/>
      <c r="D183" s="22">
        <v>280000</v>
      </c>
      <c r="E183" s="18">
        <v>46041</v>
      </c>
      <c r="F183" s="15" t="s">
        <v>117</v>
      </c>
      <c r="G183" s="15"/>
      <c r="H183" s="22">
        <v>175000</v>
      </c>
    </row>
    <row r="184" spans="1:10" x14ac:dyDescent="0.35">
      <c r="A184" s="18"/>
      <c r="B184" s="15"/>
      <c r="C184" s="15"/>
      <c r="D184" s="22"/>
      <c r="E184" s="18">
        <v>46053</v>
      </c>
      <c r="F184" s="15" t="s">
        <v>131</v>
      </c>
      <c r="G184" s="15"/>
      <c r="H184" s="22">
        <v>105000</v>
      </c>
      <c r="J184" s="23"/>
    </row>
    <row r="185" spans="1:10" x14ac:dyDescent="0.35">
      <c r="A185" s="18"/>
      <c r="B185" s="15"/>
      <c r="C185" s="15"/>
      <c r="D185" s="22"/>
      <c r="E185" s="18"/>
      <c r="F185" s="15"/>
      <c r="G185" s="15"/>
      <c r="H185" s="22"/>
      <c r="J185" s="23"/>
    </row>
    <row r="186" spans="1:10" x14ac:dyDescent="0.35">
      <c r="A186" s="18"/>
      <c r="B186" s="15"/>
      <c r="C186" s="15"/>
      <c r="D186" s="20">
        <f>SUM(D183:D184)</f>
        <v>280000</v>
      </c>
      <c r="E186" s="18"/>
      <c r="F186" s="15"/>
      <c r="G186" s="15"/>
      <c r="H186" s="20">
        <f>SUM(H183:H184)</f>
        <v>280000</v>
      </c>
    </row>
    <row r="187" spans="1:10" x14ac:dyDescent="0.35">
      <c r="A187" s="18">
        <v>46054</v>
      </c>
      <c r="B187" s="15" t="s">
        <v>132</v>
      </c>
      <c r="C187" s="15"/>
      <c r="D187" s="20">
        <f>H184</f>
        <v>105000</v>
      </c>
      <c r="E187" s="18"/>
      <c r="F187" s="15"/>
      <c r="G187" s="15"/>
      <c r="H187" s="22"/>
    </row>
    <row r="190" spans="1:10" ht="15.5" x14ac:dyDescent="0.35">
      <c r="A190" s="16" t="s">
        <v>111</v>
      </c>
      <c r="B190" s="62" t="s">
        <v>158</v>
      </c>
      <c r="C190" s="62"/>
      <c r="D190" s="62"/>
      <c r="E190" s="62"/>
      <c r="F190" s="62"/>
      <c r="G190" s="62"/>
      <c r="H190" s="17" t="s">
        <v>114</v>
      </c>
    </row>
    <row r="191" spans="1:10" ht="15.5" x14ac:dyDescent="0.35">
      <c r="A191" s="33" t="s">
        <v>9</v>
      </c>
      <c r="B191" s="33" t="s">
        <v>10</v>
      </c>
      <c r="C191" s="33" t="s">
        <v>112</v>
      </c>
      <c r="D191" s="34" t="s">
        <v>113</v>
      </c>
      <c r="E191" s="33" t="s">
        <v>9</v>
      </c>
      <c r="F191" s="33" t="s">
        <v>10</v>
      </c>
      <c r="G191" s="33" t="s">
        <v>112</v>
      </c>
      <c r="H191" s="34" t="s">
        <v>113</v>
      </c>
    </row>
    <row r="192" spans="1:10" x14ac:dyDescent="0.35">
      <c r="A192" s="18">
        <v>46053</v>
      </c>
      <c r="B192" s="15" t="s">
        <v>118</v>
      </c>
      <c r="C192" s="15"/>
      <c r="D192" s="22">
        <f>H192</f>
        <v>300000</v>
      </c>
      <c r="E192" s="18">
        <v>46047</v>
      </c>
      <c r="F192" s="15" t="s">
        <v>121</v>
      </c>
      <c r="G192" s="15"/>
      <c r="H192" s="22">
        <v>300000</v>
      </c>
    </row>
    <row r="193" spans="1:8" x14ac:dyDescent="0.35">
      <c r="A193" s="18"/>
      <c r="B193" s="15"/>
      <c r="C193" s="15"/>
      <c r="D193" s="22"/>
      <c r="E193" s="18"/>
      <c r="F193" s="15"/>
      <c r="G193" s="15"/>
      <c r="H193" s="22"/>
    </row>
    <row r="194" spans="1:8" x14ac:dyDescent="0.35">
      <c r="A194" s="18"/>
      <c r="B194" s="15"/>
      <c r="C194" s="15"/>
      <c r="D194" s="20">
        <f>SUM(D192:D193)</f>
        <v>300000</v>
      </c>
      <c r="E194" s="18"/>
      <c r="F194" s="15"/>
      <c r="G194" s="15"/>
      <c r="H194" s="20">
        <f>SUM(H192:H193)</f>
        <v>300000</v>
      </c>
    </row>
    <row r="195" spans="1:8" x14ac:dyDescent="0.35">
      <c r="A195" s="18"/>
      <c r="B195" s="15"/>
      <c r="C195" s="15"/>
      <c r="D195" s="22"/>
      <c r="E195" s="18">
        <v>46054</v>
      </c>
      <c r="F195" s="15" t="s">
        <v>119</v>
      </c>
      <c r="G195" s="15"/>
      <c r="H195" s="20">
        <f>D192</f>
        <v>300000</v>
      </c>
    </row>
    <row r="198" spans="1:8" ht="15.5" x14ac:dyDescent="0.35">
      <c r="A198" s="16" t="s">
        <v>111</v>
      </c>
      <c r="B198" s="62" t="s">
        <v>157</v>
      </c>
      <c r="C198" s="62"/>
      <c r="D198" s="62"/>
      <c r="E198" s="62"/>
      <c r="F198" s="62"/>
      <c r="G198" s="62"/>
      <c r="H198" s="17" t="s">
        <v>114</v>
      </c>
    </row>
    <row r="199" spans="1:8" ht="15.5" x14ac:dyDescent="0.35">
      <c r="A199" s="33" t="s">
        <v>9</v>
      </c>
      <c r="B199" s="33" t="s">
        <v>10</v>
      </c>
      <c r="C199" s="33" t="s">
        <v>112</v>
      </c>
      <c r="D199" s="34" t="s">
        <v>113</v>
      </c>
      <c r="E199" s="33" t="s">
        <v>9</v>
      </c>
      <c r="F199" s="33" t="s">
        <v>10</v>
      </c>
      <c r="G199" s="33" t="s">
        <v>112</v>
      </c>
      <c r="H199" s="34" t="s">
        <v>113</v>
      </c>
    </row>
    <row r="200" spans="1:8" x14ac:dyDescent="0.35">
      <c r="A200" s="14">
        <v>46049</v>
      </c>
      <c r="B200" s="15" t="s">
        <v>129</v>
      </c>
      <c r="C200" s="15"/>
      <c r="D200" s="22">
        <v>8000</v>
      </c>
      <c r="E200" s="18">
        <v>46053</v>
      </c>
      <c r="F200" s="15" t="s">
        <v>131</v>
      </c>
      <c r="G200" s="15"/>
      <c r="H200" s="22">
        <f>D202</f>
        <v>8000</v>
      </c>
    </row>
    <row r="201" spans="1:8" x14ac:dyDescent="0.35">
      <c r="A201" s="18"/>
      <c r="B201" s="15"/>
      <c r="C201" s="15"/>
      <c r="D201" s="22"/>
      <c r="E201" s="18"/>
      <c r="F201" s="15"/>
      <c r="G201" s="15"/>
      <c r="H201" s="22"/>
    </row>
    <row r="202" spans="1:8" x14ac:dyDescent="0.35">
      <c r="A202" s="18"/>
      <c r="B202" s="15"/>
      <c r="C202" s="15"/>
      <c r="D202" s="20">
        <f>SUM(D200:D201)</f>
        <v>8000</v>
      </c>
      <c r="E202" s="18"/>
      <c r="F202" s="15"/>
      <c r="G202" s="15"/>
      <c r="H202" s="20">
        <f>SUM(H200:H201)</f>
        <v>8000</v>
      </c>
    </row>
    <row r="203" spans="1:8" x14ac:dyDescent="0.35">
      <c r="A203" s="18">
        <v>46054</v>
      </c>
      <c r="B203" s="15" t="s">
        <v>132</v>
      </c>
      <c r="C203" s="15"/>
      <c r="D203" s="20">
        <f>H200</f>
        <v>8000</v>
      </c>
      <c r="E203" s="18"/>
      <c r="F203" s="15"/>
      <c r="G203" s="15"/>
      <c r="H203" s="22"/>
    </row>
    <row r="206" spans="1:8" ht="15.5" x14ac:dyDescent="0.35">
      <c r="A206" s="16" t="s">
        <v>111</v>
      </c>
      <c r="B206" s="62" t="s">
        <v>159</v>
      </c>
      <c r="C206" s="62"/>
      <c r="D206" s="62"/>
      <c r="E206" s="62"/>
      <c r="F206" s="62"/>
      <c r="G206" s="62"/>
      <c r="H206" s="17" t="s">
        <v>114</v>
      </c>
    </row>
    <row r="207" spans="1:8" ht="15.5" x14ac:dyDescent="0.35">
      <c r="A207" s="33" t="s">
        <v>9</v>
      </c>
      <c r="B207" s="33" t="s">
        <v>10</v>
      </c>
      <c r="C207" s="33" t="s">
        <v>112</v>
      </c>
      <c r="D207" s="34" t="s">
        <v>113</v>
      </c>
      <c r="E207" s="33" t="s">
        <v>9</v>
      </c>
      <c r="F207" s="33" t="s">
        <v>10</v>
      </c>
      <c r="G207" s="33" t="s">
        <v>112</v>
      </c>
      <c r="H207" s="34" t="s">
        <v>113</v>
      </c>
    </row>
    <row r="208" spans="1:8" x14ac:dyDescent="0.35">
      <c r="A208" s="18">
        <v>46053</v>
      </c>
      <c r="B208" s="15" t="s">
        <v>118</v>
      </c>
      <c r="C208" s="15"/>
      <c r="D208" s="22">
        <f>H208</f>
        <v>20000</v>
      </c>
      <c r="E208" s="18">
        <v>46050</v>
      </c>
      <c r="F208" s="15" t="s">
        <v>117</v>
      </c>
      <c r="G208" s="15"/>
      <c r="H208" s="22">
        <v>20000</v>
      </c>
    </row>
    <row r="209" spans="1:8" x14ac:dyDescent="0.35">
      <c r="A209" s="18"/>
      <c r="B209" s="15"/>
      <c r="C209" s="15"/>
      <c r="D209" s="22"/>
      <c r="E209" s="18"/>
      <c r="F209" s="15"/>
      <c r="G209" s="15"/>
      <c r="H209" s="22"/>
    </row>
    <row r="210" spans="1:8" x14ac:dyDescent="0.35">
      <c r="A210" s="18"/>
      <c r="B210" s="15"/>
      <c r="C210" s="15"/>
      <c r="D210" s="20">
        <f>SUM(D208:D209)</f>
        <v>20000</v>
      </c>
      <c r="E210" s="18"/>
      <c r="F210" s="15"/>
      <c r="G210" s="15"/>
      <c r="H210" s="20">
        <f>SUM(H208:H209)</f>
        <v>20000</v>
      </c>
    </row>
    <row r="211" spans="1:8" x14ac:dyDescent="0.35">
      <c r="A211" s="18"/>
      <c r="B211" s="15"/>
      <c r="C211" s="15"/>
      <c r="D211" s="22"/>
      <c r="E211" s="18">
        <v>46054</v>
      </c>
      <c r="F211" s="15" t="s">
        <v>119</v>
      </c>
      <c r="G211" s="15"/>
      <c r="H211" s="20">
        <f>D208</f>
        <v>20000</v>
      </c>
    </row>
    <row r="214" spans="1:8" ht="15.5" x14ac:dyDescent="0.35">
      <c r="A214" s="16" t="s">
        <v>111</v>
      </c>
      <c r="B214" s="62" t="s">
        <v>107</v>
      </c>
      <c r="C214" s="62"/>
      <c r="D214" s="62"/>
      <c r="E214" s="62"/>
      <c r="F214" s="62"/>
      <c r="G214" s="62"/>
      <c r="H214" s="17" t="s">
        <v>114</v>
      </c>
    </row>
    <row r="215" spans="1:8" ht="15.5" x14ac:dyDescent="0.35">
      <c r="A215" s="33" t="s">
        <v>9</v>
      </c>
      <c r="B215" s="33" t="s">
        <v>10</v>
      </c>
      <c r="C215" s="33" t="s">
        <v>112</v>
      </c>
      <c r="D215" s="34" t="s">
        <v>113</v>
      </c>
      <c r="E215" s="33" t="s">
        <v>9</v>
      </c>
      <c r="F215" s="33" t="s">
        <v>10</v>
      </c>
      <c r="G215" s="33" t="s">
        <v>112</v>
      </c>
      <c r="H215" s="34" t="s">
        <v>113</v>
      </c>
    </row>
    <row r="216" spans="1:8" x14ac:dyDescent="0.35">
      <c r="A216" s="14">
        <v>46051</v>
      </c>
      <c r="B216" s="15" t="s">
        <v>129</v>
      </c>
      <c r="C216" s="15"/>
      <c r="D216" s="22">
        <v>60000</v>
      </c>
      <c r="E216" s="18">
        <v>46053</v>
      </c>
      <c r="F216" s="15" t="s">
        <v>131</v>
      </c>
      <c r="G216" s="15"/>
      <c r="H216" s="22">
        <f>D218</f>
        <v>60000</v>
      </c>
    </row>
    <row r="217" spans="1:8" x14ac:dyDescent="0.35">
      <c r="A217" s="18"/>
      <c r="B217" s="15"/>
      <c r="C217" s="15"/>
      <c r="D217" s="22"/>
      <c r="E217" s="18"/>
      <c r="F217" s="15"/>
      <c r="G217" s="15"/>
      <c r="H217" s="22"/>
    </row>
    <row r="218" spans="1:8" x14ac:dyDescent="0.35">
      <c r="A218" s="18"/>
      <c r="B218" s="15"/>
      <c r="C218" s="15"/>
      <c r="D218" s="20">
        <f>SUM(D216:D217)</f>
        <v>60000</v>
      </c>
      <c r="E218" s="18"/>
      <c r="F218" s="15"/>
      <c r="G218" s="15"/>
      <c r="H218" s="20">
        <f>SUM(H216:H217)</f>
        <v>60000</v>
      </c>
    </row>
    <row r="219" spans="1:8" x14ac:dyDescent="0.35">
      <c r="A219" s="18">
        <v>46054</v>
      </c>
      <c r="B219" s="15" t="s">
        <v>132</v>
      </c>
      <c r="C219" s="15"/>
      <c r="D219" s="20">
        <f>H216</f>
        <v>60000</v>
      </c>
      <c r="E219" s="18"/>
      <c r="F219" s="15"/>
      <c r="G219" s="15"/>
      <c r="H219" s="22"/>
    </row>
    <row r="222" spans="1:8" ht="15.5" x14ac:dyDescent="0.35">
      <c r="A222" s="16" t="s">
        <v>111</v>
      </c>
      <c r="B222" s="62" t="s">
        <v>160</v>
      </c>
      <c r="C222" s="62"/>
      <c r="D222" s="62"/>
      <c r="E222" s="62"/>
      <c r="F222" s="62"/>
      <c r="G222" s="62"/>
      <c r="H222" s="17" t="s">
        <v>114</v>
      </c>
    </row>
    <row r="223" spans="1:8" ht="15.5" x14ac:dyDescent="0.35">
      <c r="A223" s="33" t="s">
        <v>9</v>
      </c>
      <c r="B223" s="33" t="s">
        <v>10</v>
      </c>
      <c r="C223" s="33" t="s">
        <v>112</v>
      </c>
      <c r="D223" s="34" t="s">
        <v>113</v>
      </c>
      <c r="E223" s="33" t="s">
        <v>9</v>
      </c>
      <c r="F223" s="33" t="s">
        <v>10</v>
      </c>
      <c r="G223" s="33" t="s">
        <v>112</v>
      </c>
      <c r="H223" s="34" t="s">
        <v>113</v>
      </c>
    </row>
    <row r="224" spans="1:8" x14ac:dyDescent="0.35">
      <c r="A224" s="14">
        <v>46052</v>
      </c>
      <c r="B224" s="15" t="s">
        <v>129</v>
      </c>
      <c r="C224" s="15"/>
      <c r="D224" s="22">
        <v>12000</v>
      </c>
      <c r="E224" s="18">
        <v>46053</v>
      </c>
      <c r="F224" s="15" t="s">
        <v>131</v>
      </c>
      <c r="G224" s="15"/>
      <c r="H224" s="22">
        <f>D226</f>
        <v>12000</v>
      </c>
    </row>
    <row r="225" spans="1:8" x14ac:dyDescent="0.35">
      <c r="A225" s="18"/>
      <c r="B225" s="15"/>
      <c r="C225" s="15"/>
      <c r="D225" s="22"/>
      <c r="E225" s="18"/>
      <c r="F225" s="15"/>
      <c r="G225" s="15"/>
      <c r="H225" s="22"/>
    </row>
    <row r="226" spans="1:8" x14ac:dyDescent="0.35">
      <c r="A226" s="18"/>
      <c r="B226" s="15"/>
      <c r="C226" s="15"/>
      <c r="D226" s="20">
        <f>SUM(D224:D225)</f>
        <v>12000</v>
      </c>
      <c r="E226" s="18"/>
      <c r="F226" s="15"/>
      <c r="G226" s="15"/>
      <c r="H226" s="20">
        <f>SUM(H224:H225)</f>
        <v>12000</v>
      </c>
    </row>
    <row r="227" spans="1:8" x14ac:dyDescent="0.35">
      <c r="A227" s="18">
        <v>46054</v>
      </c>
      <c r="B227" s="15" t="s">
        <v>132</v>
      </c>
      <c r="C227" s="15"/>
      <c r="D227" s="20">
        <f>H224</f>
        <v>12000</v>
      </c>
      <c r="E227" s="18"/>
      <c r="F227" s="15"/>
      <c r="G227" s="15"/>
      <c r="H227" s="22"/>
    </row>
  </sheetData>
  <mergeCells count="26">
    <mergeCell ref="B3:G3"/>
    <mergeCell ref="A1:H1"/>
    <mergeCell ref="B12:G12"/>
    <mergeCell ref="B29:G29"/>
    <mergeCell ref="B46:G46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55AB-7489-4402-8FED-4661BBC68C1A}">
  <dimension ref="A1:H29"/>
  <sheetViews>
    <sheetView topLeftCell="C6" workbookViewId="0">
      <selection activeCell="F11" sqref="F11"/>
    </sheetView>
  </sheetViews>
  <sheetFormatPr defaultRowHeight="14.5" x14ac:dyDescent="0.35"/>
  <cols>
    <col min="1" max="1" width="7" customWidth="1"/>
    <col min="2" max="2" width="38.6328125" customWidth="1"/>
    <col min="3" max="3" width="11.81640625" style="5" customWidth="1"/>
    <col min="4" max="4" width="11" style="5" customWidth="1"/>
  </cols>
  <sheetData>
    <row r="1" spans="1:8" ht="20.5" customHeight="1" x14ac:dyDescent="0.35">
      <c r="A1" s="67" t="s">
        <v>294</v>
      </c>
      <c r="B1" s="67"/>
      <c r="C1" s="67"/>
      <c r="D1" s="67"/>
      <c r="E1" s="68"/>
      <c r="F1" s="68"/>
      <c r="G1" s="68"/>
      <c r="H1" s="68"/>
    </row>
    <row r="2" spans="1:8" ht="16" x14ac:dyDescent="0.4">
      <c r="A2" s="35"/>
      <c r="B2" s="35"/>
      <c r="C2" s="36"/>
      <c r="D2" s="36"/>
    </row>
    <row r="3" spans="1:8" ht="15.5" x14ac:dyDescent="0.35">
      <c r="A3" s="33" t="s">
        <v>161</v>
      </c>
      <c r="B3" s="33" t="s">
        <v>10</v>
      </c>
      <c r="C3" s="34" t="s">
        <v>49</v>
      </c>
      <c r="D3" s="34" t="s">
        <v>50</v>
      </c>
    </row>
    <row r="4" spans="1:8" x14ac:dyDescent="0.35">
      <c r="A4" s="15">
        <v>1</v>
      </c>
      <c r="B4" s="15" t="s">
        <v>51</v>
      </c>
      <c r="C4" s="19">
        <v>3312000</v>
      </c>
      <c r="D4" s="19"/>
    </row>
    <row r="5" spans="1:8" x14ac:dyDescent="0.35">
      <c r="A5" s="15">
        <v>2</v>
      </c>
      <c r="B5" s="15" t="s">
        <v>53</v>
      </c>
      <c r="C5" s="19">
        <v>2985000</v>
      </c>
      <c r="D5" s="19"/>
    </row>
    <row r="6" spans="1:8" x14ac:dyDescent="0.35">
      <c r="A6" s="15">
        <v>3</v>
      </c>
      <c r="B6" s="15" t="s">
        <v>56</v>
      </c>
      <c r="C6" s="19">
        <v>675000</v>
      </c>
      <c r="D6" s="19"/>
    </row>
    <row r="7" spans="1:8" x14ac:dyDescent="0.35">
      <c r="A7" s="15">
        <v>4</v>
      </c>
      <c r="B7" s="15" t="s">
        <v>72</v>
      </c>
      <c r="C7" s="19" t="s">
        <v>162</v>
      </c>
      <c r="D7" s="19" t="s">
        <v>162</v>
      </c>
    </row>
    <row r="8" spans="1:8" x14ac:dyDescent="0.35">
      <c r="A8" s="15">
        <v>5</v>
      </c>
      <c r="B8" s="15" t="s">
        <v>166</v>
      </c>
      <c r="C8" s="19">
        <v>5000</v>
      </c>
      <c r="D8" s="19"/>
    </row>
    <row r="9" spans="1:8" x14ac:dyDescent="0.35">
      <c r="A9" s="15">
        <v>6</v>
      </c>
      <c r="B9" s="15" t="s">
        <v>61</v>
      </c>
      <c r="C9" s="19">
        <v>55000</v>
      </c>
      <c r="D9" s="19"/>
    </row>
    <row r="10" spans="1:8" x14ac:dyDescent="0.35">
      <c r="A10" s="15">
        <v>7</v>
      </c>
      <c r="B10" s="15" t="s">
        <v>65</v>
      </c>
      <c r="C10" s="19">
        <v>42000</v>
      </c>
      <c r="D10" s="19"/>
    </row>
    <row r="11" spans="1:8" x14ac:dyDescent="0.35">
      <c r="A11" s="15">
        <v>8</v>
      </c>
      <c r="B11" s="15" t="s">
        <v>68</v>
      </c>
      <c r="C11" s="19">
        <v>20000</v>
      </c>
      <c r="D11" s="19"/>
    </row>
    <row r="12" spans="1:8" x14ac:dyDescent="0.35">
      <c r="A12" s="15">
        <v>9</v>
      </c>
      <c r="B12" s="15" t="s">
        <v>163</v>
      </c>
      <c r="C12" s="19">
        <v>10000</v>
      </c>
      <c r="D12" s="19"/>
    </row>
    <row r="13" spans="1:8" x14ac:dyDescent="0.35">
      <c r="A13" s="15">
        <v>10</v>
      </c>
      <c r="B13" s="15" t="s">
        <v>153</v>
      </c>
      <c r="C13" s="19">
        <v>15000</v>
      </c>
      <c r="D13" s="19"/>
    </row>
    <row r="14" spans="1:8" x14ac:dyDescent="0.35">
      <c r="A14" s="15">
        <v>11</v>
      </c>
      <c r="B14" s="15" t="s">
        <v>80</v>
      </c>
      <c r="C14" s="19">
        <v>50000</v>
      </c>
      <c r="D14" s="19"/>
    </row>
    <row r="15" spans="1:8" x14ac:dyDescent="0.35">
      <c r="A15" s="15">
        <v>12</v>
      </c>
      <c r="B15" s="15" t="s">
        <v>86</v>
      </c>
      <c r="C15" s="19">
        <v>25000</v>
      </c>
      <c r="D15" s="19"/>
    </row>
    <row r="16" spans="1:8" x14ac:dyDescent="0.35">
      <c r="A16" s="15">
        <v>13</v>
      </c>
      <c r="B16" s="15" t="s">
        <v>155</v>
      </c>
      <c r="C16" s="19">
        <v>30000</v>
      </c>
      <c r="D16" s="19"/>
    </row>
    <row r="17" spans="1:4" x14ac:dyDescent="0.35">
      <c r="A17" s="15">
        <v>14</v>
      </c>
      <c r="B17" s="15" t="s">
        <v>92</v>
      </c>
      <c r="C17" s="19">
        <v>213000</v>
      </c>
      <c r="D17" s="19"/>
    </row>
    <row r="18" spans="1:4" x14ac:dyDescent="0.35">
      <c r="A18" s="15">
        <v>15</v>
      </c>
      <c r="B18" s="15" t="s">
        <v>164</v>
      </c>
      <c r="C18" s="19">
        <v>8000</v>
      </c>
      <c r="D18" s="19"/>
    </row>
    <row r="19" spans="1:4" x14ac:dyDescent="0.35">
      <c r="A19" s="15">
        <v>16</v>
      </c>
      <c r="B19" s="15" t="s">
        <v>97</v>
      </c>
      <c r="C19" s="19">
        <v>105000</v>
      </c>
      <c r="D19" s="19"/>
    </row>
    <row r="20" spans="1:4" x14ac:dyDescent="0.35">
      <c r="A20" s="15">
        <v>17</v>
      </c>
      <c r="B20" s="15" t="s">
        <v>157</v>
      </c>
      <c r="C20" s="19">
        <v>8000</v>
      </c>
      <c r="D20" s="19"/>
    </row>
    <row r="21" spans="1:4" x14ac:dyDescent="0.35">
      <c r="A21" s="15">
        <v>18</v>
      </c>
      <c r="B21" s="15" t="s">
        <v>107</v>
      </c>
      <c r="C21" s="19">
        <v>60000</v>
      </c>
      <c r="D21" s="19"/>
    </row>
    <row r="22" spans="1:4" x14ac:dyDescent="0.35">
      <c r="A22" s="15">
        <v>19</v>
      </c>
      <c r="B22" s="15" t="s">
        <v>160</v>
      </c>
      <c r="C22" s="19">
        <v>12000</v>
      </c>
      <c r="D22" s="19"/>
    </row>
    <row r="23" spans="1:4" x14ac:dyDescent="0.35">
      <c r="A23" s="15">
        <v>20</v>
      </c>
      <c r="B23" s="15" t="s">
        <v>115</v>
      </c>
      <c r="C23" s="19"/>
      <c r="D23" s="19">
        <v>6500000</v>
      </c>
    </row>
    <row r="24" spans="1:4" x14ac:dyDescent="0.35">
      <c r="A24" s="15">
        <v>21</v>
      </c>
      <c r="B24" s="15" t="s">
        <v>75</v>
      </c>
      <c r="C24" s="19"/>
      <c r="D24" s="19">
        <v>120000</v>
      </c>
    </row>
    <row r="25" spans="1:4" x14ac:dyDescent="0.35">
      <c r="A25" s="15">
        <v>22</v>
      </c>
      <c r="B25" s="15" t="s">
        <v>149</v>
      </c>
      <c r="C25" s="19"/>
      <c r="D25" s="19">
        <v>30000</v>
      </c>
    </row>
    <row r="26" spans="1:4" x14ac:dyDescent="0.35">
      <c r="A26" s="15">
        <v>23</v>
      </c>
      <c r="B26" s="15" t="s">
        <v>150</v>
      </c>
      <c r="C26" s="19"/>
      <c r="D26" s="19">
        <v>660000</v>
      </c>
    </row>
    <row r="27" spans="1:4" x14ac:dyDescent="0.35">
      <c r="A27" s="15">
        <v>24</v>
      </c>
      <c r="B27" s="15" t="s">
        <v>158</v>
      </c>
      <c r="C27" s="19"/>
      <c r="D27" s="19">
        <v>300000</v>
      </c>
    </row>
    <row r="28" spans="1:4" x14ac:dyDescent="0.35">
      <c r="A28" s="15">
        <v>25</v>
      </c>
      <c r="B28" s="15" t="s">
        <v>165</v>
      </c>
      <c r="C28" s="19"/>
      <c r="D28" s="19">
        <v>20000</v>
      </c>
    </row>
    <row r="29" spans="1:4" x14ac:dyDescent="0.35">
      <c r="A29" s="15"/>
      <c r="B29" s="29" t="s">
        <v>168</v>
      </c>
      <c r="C29" s="20">
        <f>SUM(C4:C28)</f>
        <v>7630000</v>
      </c>
      <c r="D29" s="20">
        <f ca="1">SUM(D23:D29)</f>
        <v>7630000</v>
      </c>
    </row>
  </sheetData>
  <mergeCells count="2">
    <mergeCell ref="A1:D1"/>
    <mergeCell ref="E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DBB2-D8F0-4421-9F68-D3286EC4C96D}">
  <dimension ref="A1:H15"/>
  <sheetViews>
    <sheetView workbookViewId="0">
      <selection activeCell="K22" sqref="K22"/>
    </sheetView>
  </sheetViews>
  <sheetFormatPr defaultRowHeight="14.5" x14ac:dyDescent="0.35"/>
  <cols>
    <col min="1" max="1" width="30.81640625" customWidth="1"/>
    <col min="2" max="2" width="12.36328125" style="5" customWidth="1"/>
    <col min="3" max="3" width="11.36328125" style="5" customWidth="1"/>
    <col min="4" max="4" width="25.6328125" customWidth="1"/>
    <col min="5" max="5" width="11.6328125" style="5" customWidth="1"/>
    <col min="6" max="6" width="11.81640625" style="5" customWidth="1"/>
  </cols>
  <sheetData>
    <row r="1" spans="1:8" ht="15.5" x14ac:dyDescent="0.35">
      <c r="A1" s="63" t="s">
        <v>180</v>
      </c>
      <c r="B1" s="63"/>
      <c r="C1" s="63"/>
      <c r="D1" s="63"/>
      <c r="E1" s="63"/>
      <c r="F1" s="63"/>
    </row>
    <row r="3" spans="1:8" ht="15.5" x14ac:dyDescent="0.35">
      <c r="A3" s="31" t="s">
        <v>111</v>
      </c>
      <c r="B3" s="32"/>
      <c r="C3" s="32"/>
      <c r="D3" s="31"/>
      <c r="E3" s="32"/>
      <c r="F3" s="17" t="s">
        <v>114</v>
      </c>
    </row>
    <row r="4" spans="1:8" ht="15.5" x14ac:dyDescent="0.35">
      <c r="A4" s="37" t="s">
        <v>10</v>
      </c>
      <c r="B4" s="34" t="s">
        <v>113</v>
      </c>
      <c r="C4" s="38" t="s">
        <v>113</v>
      </c>
      <c r="D4" s="33" t="s">
        <v>10</v>
      </c>
      <c r="E4" s="38" t="s">
        <v>113</v>
      </c>
      <c r="F4" s="34" t="s">
        <v>113</v>
      </c>
    </row>
    <row r="5" spans="1:8" x14ac:dyDescent="0.35">
      <c r="A5" s="7" t="s">
        <v>169</v>
      </c>
      <c r="B5" s="10" t="s">
        <v>162</v>
      </c>
      <c r="C5" s="6" t="s">
        <v>162</v>
      </c>
      <c r="D5" s="12" t="s">
        <v>174</v>
      </c>
      <c r="E5" s="6">
        <v>660000</v>
      </c>
      <c r="F5" s="10"/>
    </row>
    <row r="6" spans="1:8" ht="15" thickBot="1" x14ac:dyDescent="0.4">
      <c r="A6" s="7" t="s">
        <v>145</v>
      </c>
      <c r="B6" s="10">
        <v>675000</v>
      </c>
      <c r="C6" s="6"/>
      <c r="D6" s="12" t="s">
        <v>175</v>
      </c>
      <c r="E6" s="28">
        <v>50000</v>
      </c>
      <c r="F6" s="10">
        <f>E5-E6</f>
        <v>610000</v>
      </c>
    </row>
    <row r="7" spans="1:8" ht="15" thickBot="1" x14ac:dyDescent="0.4">
      <c r="A7" s="7" t="s">
        <v>170</v>
      </c>
      <c r="B7" s="30">
        <v>30000</v>
      </c>
      <c r="C7" s="6">
        <f>B6-B7</f>
        <v>645000</v>
      </c>
      <c r="D7" s="12" t="s">
        <v>176</v>
      </c>
      <c r="E7" s="6"/>
      <c r="F7" s="10">
        <v>245000</v>
      </c>
    </row>
    <row r="8" spans="1:8" x14ac:dyDescent="0.35">
      <c r="A8" s="7" t="s">
        <v>171</v>
      </c>
      <c r="B8" s="10"/>
      <c r="C8" s="6"/>
      <c r="D8" s="12"/>
      <c r="E8" s="6"/>
      <c r="F8" s="10"/>
    </row>
    <row r="9" spans="1:8" x14ac:dyDescent="0.35">
      <c r="A9" s="7" t="s">
        <v>172</v>
      </c>
      <c r="B9" s="10"/>
      <c r="C9" s="6">
        <v>20000</v>
      </c>
      <c r="D9" s="12"/>
      <c r="E9" s="6"/>
      <c r="F9" s="10"/>
    </row>
    <row r="10" spans="1:8" x14ac:dyDescent="0.35">
      <c r="A10" s="7" t="s">
        <v>173</v>
      </c>
      <c r="B10" s="10"/>
      <c r="C10" s="6">
        <v>10000</v>
      </c>
      <c r="D10" s="12"/>
      <c r="E10" s="6"/>
      <c r="F10" s="10"/>
    </row>
    <row r="11" spans="1:8" x14ac:dyDescent="0.35">
      <c r="A11" s="7" t="s">
        <v>177</v>
      </c>
      <c r="B11" s="10"/>
      <c r="C11" s="27">
        <v>180000</v>
      </c>
      <c r="D11" s="12"/>
      <c r="E11" s="6"/>
      <c r="F11" s="10"/>
    </row>
    <row r="12" spans="1:8" x14ac:dyDescent="0.35">
      <c r="A12" s="7"/>
      <c r="B12" s="10"/>
      <c r="C12" s="6"/>
      <c r="D12" s="12"/>
      <c r="E12" s="6"/>
      <c r="F12" s="10"/>
    </row>
    <row r="13" spans="1:8" x14ac:dyDescent="0.35">
      <c r="A13" s="8"/>
      <c r="B13" s="11"/>
      <c r="C13" s="20">
        <f>SUM(C7:C12)</f>
        <v>855000</v>
      </c>
      <c r="D13" s="13"/>
      <c r="E13" s="9"/>
      <c r="F13" s="20">
        <f>SUM(F6:F11)</f>
        <v>855000</v>
      </c>
    </row>
    <row r="15" spans="1:8" x14ac:dyDescent="0.35">
      <c r="H15" s="23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1CB8-6C22-4615-8C67-FDAFAE2B09B9}">
  <dimension ref="A1:H31"/>
  <sheetViews>
    <sheetView workbookViewId="0">
      <selection activeCell="I7" sqref="I7"/>
    </sheetView>
  </sheetViews>
  <sheetFormatPr defaultRowHeight="14.5" x14ac:dyDescent="0.35"/>
  <cols>
    <col min="1" max="1" width="37.1796875" customWidth="1"/>
    <col min="2" max="2" width="12.81640625" style="5" customWidth="1"/>
    <col min="3" max="3" width="12.6328125" style="5" customWidth="1"/>
    <col min="4" max="4" width="25" customWidth="1"/>
    <col min="5" max="5" width="12.6328125" style="5" customWidth="1"/>
    <col min="6" max="6" width="11.54296875" style="5" customWidth="1"/>
  </cols>
  <sheetData>
    <row r="1" spans="1:8" ht="15.5" x14ac:dyDescent="0.35">
      <c r="A1" s="63" t="s">
        <v>181</v>
      </c>
      <c r="B1" s="63"/>
      <c r="C1" s="63"/>
      <c r="D1" s="63"/>
      <c r="E1" s="63"/>
      <c r="F1" s="63"/>
    </row>
    <row r="3" spans="1:8" ht="15.5" x14ac:dyDescent="0.35">
      <c r="A3" s="31" t="s">
        <v>111</v>
      </c>
      <c r="B3" s="32"/>
      <c r="C3" s="32"/>
      <c r="D3" s="31"/>
      <c r="E3" s="32"/>
      <c r="F3" s="17" t="s">
        <v>114</v>
      </c>
    </row>
    <row r="4" spans="1:8" ht="15.5" x14ac:dyDescent="0.35">
      <c r="A4" s="37" t="s">
        <v>10</v>
      </c>
      <c r="B4" s="34" t="s">
        <v>113</v>
      </c>
      <c r="C4" s="38" t="s">
        <v>113</v>
      </c>
      <c r="D4" s="33" t="s">
        <v>10</v>
      </c>
      <c r="E4" s="38" t="s">
        <v>113</v>
      </c>
      <c r="F4" s="34" t="s">
        <v>113</v>
      </c>
    </row>
    <row r="5" spans="1:8" x14ac:dyDescent="0.35">
      <c r="A5" s="7" t="s">
        <v>182</v>
      </c>
      <c r="B5" s="10"/>
      <c r="C5" s="6">
        <v>5000</v>
      </c>
      <c r="D5" s="12" t="s">
        <v>192</v>
      </c>
      <c r="E5" s="6"/>
      <c r="F5" s="10">
        <v>180000</v>
      </c>
    </row>
    <row r="6" spans="1:8" x14ac:dyDescent="0.35">
      <c r="A6" s="7" t="s">
        <v>183</v>
      </c>
      <c r="B6" s="10"/>
      <c r="C6" s="6">
        <v>15000</v>
      </c>
      <c r="D6" s="12" t="s">
        <v>193</v>
      </c>
      <c r="E6" s="10">
        <v>20000</v>
      </c>
      <c r="F6" s="10"/>
    </row>
    <row r="7" spans="1:8" ht="15" thickBot="1" x14ac:dyDescent="0.4">
      <c r="A7" s="7" t="s">
        <v>184</v>
      </c>
      <c r="B7" s="10">
        <v>25000</v>
      </c>
      <c r="C7" s="6"/>
      <c r="D7" s="12" t="s">
        <v>201</v>
      </c>
      <c r="E7" s="30">
        <v>5000</v>
      </c>
      <c r="F7" s="10">
        <f>E6+E7</f>
        <v>25000</v>
      </c>
    </row>
    <row r="8" spans="1:8" ht="15" thickBot="1" x14ac:dyDescent="0.4">
      <c r="A8" s="7" t="s">
        <v>185</v>
      </c>
      <c r="B8" s="30">
        <v>10000</v>
      </c>
      <c r="C8" s="6">
        <f>B7+B8</f>
        <v>35000</v>
      </c>
      <c r="D8" s="12"/>
      <c r="E8" s="6"/>
      <c r="F8" s="10"/>
    </row>
    <row r="9" spans="1:8" x14ac:dyDescent="0.35">
      <c r="A9" s="7" t="s">
        <v>186</v>
      </c>
      <c r="B9" s="10"/>
      <c r="C9" s="6">
        <v>30000</v>
      </c>
      <c r="D9" s="12"/>
      <c r="E9" s="6"/>
      <c r="F9" s="10"/>
      <c r="H9" s="23"/>
    </row>
    <row r="10" spans="1:8" x14ac:dyDescent="0.35">
      <c r="A10" s="7" t="s">
        <v>187</v>
      </c>
      <c r="B10" s="10"/>
      <c r="C10" s="6">
        <v>8000</v>
      </c>
      <c r="D10" s="12"/>
      <c r="E10" s="6"/>
      <c r="F10" s="10"/>
    </row>
    <row r="11" spans="1:8" x14ac:dyDescent="0.35">
      <c r="A11" s="7" t="s">
        <v>188</v>
      </c>
      <c r="B11" s="10">
        <v>8000</v>
      </c>
      <c r="C11" s="6"/>
      <c r="D11" s="12"/>
      <c r="E11" s="6"/>
      <c r="F11" s="10"/>
    </row>
    <row r="12" spans="1:8" ht="15" thickBot="1" x14ac:dyDescent="0.4">
      <c r="A12" s="7" t="s">
        <v>189</v>
      </c>
      <c r="B12" s="30">
        <v>2000</v>
      </c>
      <c r="C12" s="6">
        <f>B11+B12</f>
        <v>10000</v>
      </c>
      <c r="D12" s="12"/>
      <c r="E12" s="6"/>
      <c r="F12" s="10"/>
    </row>
    <row r="13" spans="1:8" x14ac:dyDescent="0.35">
      <c r="A13" s="7" t="s">
        <v>190</v>
      </c>
      <c r="B13" s="10">
        <v>12000</v>
      </c>
      <c r="C13" s="6"/>
      <c r="D13" s="12"/>
      <c r="E13" s="6"/>
      <c r="F13" s="10"/>
    </row>
    <row r="14" spans="1:8" ht="15" thickBot="1" x14ac:dyDescent="0.4">
      <c r="A14" s="7" t="s">
        <v>191</v>
      </c>
      <c r="B14" s="30">
        <v>3000</v>
      </c>
      <c r="C14" s="6">
        <f>B13-B14</f>
        <v>9000</v>
      </c>
      <c r="D14" s="12"/>
      <c r="E14" s="6"/>
      <c r="F14" s="10"/>
    </row>
    <row r="15" spans="1:8" x14ac:dyDescent="0.35">
      <c r="A15" s="7" t="s">
        <v>197</v>
      </c>
      <c r="B15" s="10"/>
      <c r="C15" s="6">
        <v>350</v>
      </c>
      <c r="D15" s="12"/>
      <c r="E15" s="6"/>
      <c r="F15" s="10"/>
    </row>
    <row r="16" spans="1:8" x14ac:dyDescent="0.35">
      <c r="A16" s="7" t="s">
        <v>198</v>
      </c>
      <c r="B16" s="10"/>
      <c r="C16" s="6">
        <v>1775</v>
      </c>
      <c r="D16" s="12"/>
      <c r="E16" s="6"/>
      <c r="F16" s="10"/>
    </row>
    <row r="17" spans="1:6" x14ac:dyDescent="0.35">
      <c r="A17" s="7" t="s">
        <v>199</v>
      </c>
      <c r="B17" s="10"/>
      <c r="C17" s="6">
        <v>500</v>
      </c>
      <c r="D17" s="12"/>
      <c r="E17" s="6"/>
      <c r="F17" s="10"/>
    </row>
    <row r="18" spans="1:6" x14ac:dyDescent="0.35">
      <c r="A18" s="7" t="s">
        <v>200</v>
      </c>
      <c r="B18" s="10"/>
      <c r="C18" s="27">
        <v>90375</v>
      </c>
      <c r="D18" s="12"/>
      <c r="E18" s="6"/>
      <c r="F18" s="10"/>
    </row>
    <row r="19" spans="1:6" x14ac:dyDescent="0.35">
      <c r="A19" s="7"/>
      <c r="B19" s="10"/>
      <c r="C19" s="6"/>
      <c r="D19" s="12"/>
      <c r="E19" s="6"/>
      <c r="F19" s="10"/>
    </row>
    <row r="20" spans="1:6" x14ac:dyDescent="0.35">
      <c r="A20" s="8"/>
      <c r="B20" s="11"/>
      <c r="C20" s="20">
        <f>SUM(C5:C18)</f>
        <v>205000</v>
      </c>
      <c r="D20" s="13"/>
      <c r="E20" s="9"/>
      <c r="F20" s="20">
        <f>SUM(F5:F16)</f>
        <v>205000</v>
      </c>
    </row>
    <row r="22" spans="1:6" x14ac:dyDescent="0.35">
      <c r="D22" s="69"/>
      <c r="E22" s="69"/>
    </row>
    <row r="23" spans="1:6" x14ac:dyDescent="0.35">
      <c r="E23" s="6"/>
    </row>
    <row r="24" spans="1:6" x14ac:dyDescent="0.35">
      <c r="E24" s="27"/>
    </row>
    <row r="25" spans="1:6" x14ac:dyDescent="0.35">
      <c r="E25" s="27"/>
    </row>
    <row r="26" spans="1:6" x14ac:dyDescent="0.35">
      <c r="E26" s="6"/>
    </row>
    <row r="27" spans="1:6" x14ac:dyDescent="0.35">
      <c r="E27" s="27"/>
    </row>
    <row r="28" spans="1:6" x14ac:dyDescent="0.35">
      <c r="E28" s="27"/>
    </row>
    <row r="29" spans="1:6" x14ac:dyDescent="0.35">
      <c r="E29" s="6"/>
    </row>
    <row r="30" spans="1:6" x14ac:dyDescent="0.35">
      <c r="E30" s="27"/>
    </row>
    <row r="31" spans="1:6" x14ac:dyDescent="0.35">
      <c r="E31" s="27"/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40BB-73DB-4D1B-85C3-A5919BC66C01}">
  <dimension ref="A1:K21"/>
  <sheetViews>
    <sheetView workbookViewId="0">
      <selection activeCell="K14" sqref="K14"/>
    </sheetView>
  </sheetViews>
  <sheetFormatPr defaultRowHeight="14.5" x14ac:dyDescent="0.35"/>
  <cols>
    <col min="1" max="1" width="31.81640625" customWidth="1"/>
    <col min="2" max="2" width="12.08984375" style="5" customWidth="1"/>
    <col min="3" max="3" width="12.26953125" style="5" customWidth="1"/>
    <col min="4" max="4" width="31" customWidth="1"/>
    <col min="5" max="5" width="12.1796875" style="5" customWidth="1"/>
    <col min="6" max="6" width="13" style="5" customWidth="1"/>
    <col min="7" max="7" width="13.36328125" customWidth="1"/>
    <col min="9" max="9" width="9.81640625" bestFit="1" customWidth="1"/>
    <col min="11" max="11" width="9.81640625" bestFit="1" customWidth="1"/>
  </cols>
  <sheetData>
    <row r="1" spans="1:11" ht="15.5" x14ac:dyDescent="0.35">
      <c r="A1" s="63" t="s">
        <v>222</v>
      </c>
      <c r="B1" s="63"/>
      <c r="C1" s="63"/>
      <c r="D1" s="63"/>
      <c r="E1" s="63"/>
      <c r="F1" s="63"/>
    </row>
    <row r="3" spans="1:11" ht="15.5" x14ac:dyDescent="0.35">
      <c r="A3" s="31" t="s">
        <v>111</v>
      </c>
      <c r="B3" s="32"/>
      <c r="C3" s="32"/>
      <c r="D3" s="31"/>
      <c r="E3" s="32"/>
      <c r="F3" s="17" t="s">
        <v>114</v>
      </c>
    </row>
    <row r="4" spans="1:11" ht="15.5" x14ac:dyDescent="0.35">
      <c r="A4" s="37" t="s">
        <v>202</v>
      </c>
      <c r="B4" s="34" t="s">
        <v>113</v>
      </c>
      <c r="C4" s="38" t="s">
        <v>113</v>
      </c>
      <c r="D4" s="33" t="s">
        <v>203</v>
      </c>
      <c r="E4" s="38" t="s">
        <v>113</v>
      </c>
      <c r="F4" s="34" t="s">
        <v>113</v>
      </c>
    </row>
    <row r="5" spans="1:11" x14ac:dyDescent="0.35">
      <c r="A5" s="7" t="s">
        <v>206</v>
      </c>
      <c r="B5" s="10"/>
      <c r="C5" s="6"/>
      <c r="D5" s="12" t="s">
        <v>207</v>
      </c>
      <c r="E5" s="6"/>
      <c r="F5" s="10"/>
    </row>
    <row r="6" spans="1:11" x14ac:dyDescent="0.35">
      <c r="A6" s="7" t="s">
        <v>208</v>
      </c>
      <c r="B6" s="10">
        <v>6500000</v>
      </c>
      <c r="C6" s="6"/>
      <c r="D6" s="12" t="s">
        <v>194</v>
      </c>
      <c r="E6" s="6">
        <v>42000</v>
      </c>
      <c r="F6" s="10"/>
    </row>
    <row r="7" spans="1:11" ht="15" thickBot="1" x14ac:dyDescent="0.4">
      <c r="A7" s="7" t="s">
        <v>209</v>
      </c>
      <c r="B7" s="30">
        <v>90375</v>
      </c>
      <c r="C7" s="6">
        <f>B6+B7</f>
        <v>6590375</v>
      </c>
      <c r="D7" s="12" t="s">
        <v>213</v>
      </c>
      <c r="E7" s="30">
        <v>350</v>
      </c>
      <c r="F7" s="10">
        <f>E6-E7</f>
        <v>41650</v>
      </c>
    </row>
    <row r="8" spans="1:11" x14ac:dyDescent="0.35">
      <c r="A8" s="7" t="s">
        <v>204</v>
      </c>
      <c r="B8" s="10"/>
      <c r="C8" s="6"/>
      <c r="D8" s="12" t="s">
        <v>195</v>
      </c>
      <c r="E8" s="6">
        <v>213000</v>
      </c>
      <c r="F8" s="10"/>
    </row>
    <row r="9" spans="1:11" ht="15" thickBot="1" x14ac:dyDescent="0.4">
      <c r="A9" s="7" t="s">
        <v>214</v>
      </c>
      <c r="B9" s="10"/>
      <c r="C9" s="6">
        <v>120000</v>
      </c>
      <c r="D9" s="12" t="s">
        <v>213</v>
      </c>
      <c r="E9" s="30">
        <v>1775</v>
      </c>
      <c r="F9" s="10">
        <f>E8-E9</f>
        <v>211225</v>
      </c>
    </row>
    <row r="10" spans="1:11" x14ac:dyDescent="0.35">
      <c r="A10" s="7" t="s">
        <v>215</v>
      </c>
      <c r="B10" s="10"/>
      <c r="C10" s="6">
        <v>300000</v>
      </c>
      <c r="D10" s="12" t="s">
        <v>196</v>
      </c>
      <c r="E10" s="6">
        <v>60000</v>
      </c>
      <c r="F10" s="10"/>
    </row>
    <row r="11" spans="1:11" ht="15" thickBot="1" x14ac:dyDescent="0.4">
      <c r="A11" s="7" t="s">
        <v>210</v>
      </c>
      <c r="B11" s="10"/>
      <c r="C11" s="6">
        <v>10000</v>
      </c>
      <c r="D11" s="12" t="s">
        <v>213</v>
      </c>
      <c r="E11" s="30">
        <v>500</v>
      </c>
      <c r="F11" s="10">
        <f>E10-E11</f>
        <v>59500</v>
      </c>
    </row>
    <row r="12" spans="1:11" x14ac:dyDescent="0.35">
      <c r="A12" s="7" t="s">
        <v>211</v>
      </c>
      <c r="B12" s="10"/>
      <c r="C12" s="6">
        <v>2000</v>
      </c>
      <c r="D12" s="12" t="s">
        <v>205</v>
      </c>
      <c r="E12" s="6"/>
      <c r="F12" s="10"/>
    </row>
    <row r="13" spans="1:11" x14ac:dyDescent="0.35">
      <c r="A13" s="7"/>
      <c r="B13" s="10"/>
      <c r="C13" s="6"/>
      <c r="D13" s="12" t="s">
        <v>216</v>
      </c>
      <c r="E13" s="6"/>
      <c r="F13" s="10">
        <v>3312000</v>
      </c>
    </row>
    <row r="14" spans="1:11" x14ac:dyDescent="0.35">
      <c r="A14" s="7"/>
      <c r="B14" s="10"/>
      <c r="C14" s="6"/>
      <c r="D14" s="12" t="s">
        <v>217</v>
      </c>
      <c r="E14" s="6"/>
      <c r="F14" s="10">
        <v>2985000</v>
      </c>
      <c r="I14" s="23"/>
      <c r="K14" s="23"/>
    </row>
    <row r="15" spans="1:11" x14ac:dyDescent="0.35">
      <c r="A15" s="7"/>
      <c r="B15" s="10"/>
      <c r="C15" s="6"/>
      <c r="D15" s="12" t="s">
        <v>218</v>
      </c>
      <c r="E15" s="6"/>
      <c r="F15" s="10">
        <v>55000</v>
      </c>
      <c r="I15" s="23"/>
      <c r="K15" s="23"/>
    </row>
    <row r="16" spans="1:11" x14ac:dyDescent="0.35">
      <c r="A16" s="7"/>
      <c r="B16" s="10"/>
      <c r="C16" s="6"/>
      <c r="D16" s="12" t="s">
        <v>219</v>
      </c>
      <c r="E16" s="6"/>
      <c r="F16" s="10">
        <v>105000</v>
      </c>
      <c r="K16" s="23"/>
    </row>
    <row r="17" spans="1:6" x14ac:dyDescent="0.35">
      <c r="A17" s="7"/>
      <c r="B17" s="10"/>
      <c r="C17" s="6"/>
      <c r="D17" s="12" t="s">
        <v>220</v>
      </c>
      <c r="E17" s="6"/>
      <c r="F17" s="10">
        <v>3000</v>
      </c>
    </row>
    <row r="18" spans="1:6" x14ac:dyDescent="0.35">
      <c r="A18" s="7"/>
      <c r="B18" s="10"/>
      <c r="C18" s="6"/>
      <c r="D18" s="12" t="s">
        <v>212</v>
      </c>
      <c r="E18" s="6"/>
      <c r="F18" s="10">
        <v>5000</v>
      </c>
    </row>
    <row r="19" spans="1:6" x14ac:dyDescent="0.35">
      <c r="A19" s="7"/>
      <c r="B19" s="10"/>
      <c r="C19" s="6"/>
      <c r="D19" s="12" t="s">
        <v>221</v>
      </c>
      <c r="E19" s="6"/>
      <c r="F19" s="10">
        <v>245000</v>
      </c>
    </row>
    <row r="20" spans="1:6" x14ac:dyDescent="0.35">
      <c r="A20" s="7"/>
      <c r="B20" s="10"/>
      <c r="C20" s="6"/>
      <c r="D20" s="12"/>
      <c r="E20" s="6"/>
      <c r="F20" s="10"/>
    </row>
    <row r="21" spans="1:6" x14ac:dyDescent="0.35">
      <c r="A21" s="8"/>
      <c r="B21" s="11"/>
      <c r="C21" s="20">
        <f>SUM(C7:C20)</f>
        <v>7022375</v>
      </c>
      <c r="D21" s="13"/>
      <c r="E21" s="9"/>
      <c r="F21" s="20">
        <f>SUM(F7:F20)</f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0843-38A7-4B15-AC10-22A8193985F0}">
  <dimension ref="A1:C47"/>
  <sheetViews>
    <sheetView tabSelected="1" zoomScaleNormal="100" workbookViewId="0">
      <selection activeCell="B8" sqref="B8"/>
    </sheetView>
  </sheetViews>
  <sheetFormatPr defaultRowHeight="14.5" x14ac:dyDescent="0.35"/>
  <cols>
    <col min="1" max="1" width="28.453125" customWidth="1"/>
    <col min="2" max="2" width="74.7265625" customWidth="1"/>
    <col min="3" max="3" width="94.453125" customWidth="1"/>
  </cols>
  <sheetData>
    <row r="1" spans="1:3" ht="18.5" x14ac:dyDescent="0.45">
      <c r="A1" s="70" t="s">
        <v>223</v>
      </c>
      <c r="B1" s="70"/>
      <c r="C1" s="39" t="s">
        <v>224</v>
      </c>
    </row>
    <row r="2" spans="1:3" x14ac:dyDescent="0.35">
      <c r="A2" s="71" t="s">
        <v>225</v>
      </c>
      <c r="B2" s="72"/>
      <c r="C2" s="40"/>
    </row>
    <row r="3" spans="1:3" x14ac:dyDescent="0.35">
      <c r="A3" s="41" t="s">
        <v>226</v>
      </c>
      <c r="B3" s="42" t="s">
        <v>227</v>
      </c>
      <c r="C3" s="43"/>
    </row>
    <row r="4" spans="1:3" x14ac:dyDescent="0.35">
      <c r="A4" s="44" t="s">
        <v>228</v>
      </c>
      <c r="B4" s="45">
        <v>6710000</v>
      </c>
      <c r="C4" s="43" t="s">
        <v>229</v>
      </c>
    </row>
    <row r="5" spans="1:3" x14ac:dyDescent="0.35">
      <c r="A5" s="44" t="s">
        <v>230</v>
      </c>
      <c r="B5" s="45">
        <v>432000</v>
      </c>
      <c r="C5" s="43" t="s">
        <v>286</v>
      </c>
    </row>
    <row r="6" spans="1:3" x14ac:dyDescent="0.35">
      <c r="A6" s="44"/>
      <c r="B6" s="45"/>
      <c r="C6" s="46" t="s">
        <v>231</v>
      </c>
    </row>
    <row r="7" spans="1:3" x14ac:dyDescent="0.35">
      <c r="A7" s="44" t="s">
        <v>232</v>
      </c>
      <c r="B7" s="47">
        <f>B4/B5</f>
        <v>15.532407407407407</v>
      </c>
      <c r="C7" s="46" t="s">
        <v>233</v>
      </c>
    </row>
    <row r="8" spans="1:3" x14ac:dyDescent="0.35">
      <c r="A8" s="48"/>
      <c r="B8" s="49"/>
      <c r="C8" s="48"/>
    </row>
    <row r="9" spans="1:3" x14ac:dyDescent="0.35">
      <c r="A9" s="41" t="s">
        <v>234</v>
      </c>
      <c r="B9" s="50" t="s">
        <v>235</v>
      </c>
      <c r="C9" s="43"/>
    </row>
    <row r="10" spans="1:3" x14ac:dyDescent="0.35">
      <c r="A10" s="44" t="s">
        <v>236</v>
      </c>
      <c r="B10" s="45">
        <v>6462000</v>
      </c>
      <c r="C10" s="43" t="s">
        <v>237</v>
      </c>
    </row>
    <row r="11" spans="1:3" x14ac:dyDescent="0.35">
      <c r="A11" s="44" t="s">
        <v>230</v>
      </c>
      <c r="B11" s="45">
        <f>B5</f>
        <v>432000</v>
      </c>
      <c r="C11" s="43" t="s">
        <v>287</v>
      </c>
    </row>
    <row r="12" spans="1:3" x14ac:dyDescent="0.35">
      <c r="A12" s="44"/>
      <c r="B12" s="45"/>
      <c r="C12" s="46" t="s">
        <v>238</v>
      </c>
    </row>
    <row r="13" spans="1:3" x14ac:dyDescent="0.35">
      <c r="A13" s="44" t="s">
        <v>239</v>
      </c>
      <c r="B13" s="47">
        <f>(B10/B11)</f>
        <v>14.958333333333334</v>
      </c>
      <c r="C13" s="51" t="s">
        <v>240</v>
      </c>
    </row>
    <row r="14" spans="1:3" x14ac:dyDescent="0.35">
      <c r="A14" s="48"/>
      <c r="B14" s="52"/>
      <c r="C14" s="48"/>
    </row>
    <row r="15" spans="1:3" x14ac:dyDescent="0.35">
      <c r="A15" s="41" t="s">
        <v>241</v>
      </c>
      <c r="B15" s="53" t="s">
        <v>242</v>
      </c>
      <c r="C15" s="43"/>
    </row>
    <row r="16" spans="1:3" x14ac:dyDescent="0.35">
      <c r="A16" s="44" t="s">
        <v>243</v>
      </c>
      <c r="B16" s="45">
        <v>6297000</v>
      </c>
      <c r="C16" s="43" t="s">
        <v>244</v>
      </c>
    </row>
    <row r="17" spans="1:3" x14ac:dyDescent="0.35">
      <c r="A17" s="44" t="s">
        <v>230</v>
      </c>
      <c r="B17" s="45">
        <f>B5</f>
        <v>432000</v>
      </c>
      <c r="C17" s="43" t="s">
        <v>288</v>
      </c>
    </row>
    <row r="18" spans="1:3" x14ac:dyDescent="0.35">
      <c r="A18" s="44"/>
      <c r="B18" s="45"/>
      <c r="C18" s="43" t="s">
        <v>245</v>
      </c>
    </row>
    <row r="19" spans="1:3" x14ac:dyDescent="0.35">
      <c r="A19" s="44" t="s">
        <v>246</v>
      </c>
      <c r="B19" s="47">
        <f>(B16/B17)</f>
        <v>14.576388888888889</v>
      </c>
      <c r="C19" s="46" t="s">
        <v>247</v>
      </c>
    </row>
    <row r="20" spans="1:3" x14ac:dyDescent="0.35">
      <c r="A20" s="54"/>
      <c r="B20" s="52"/>
      <c r="C20" s="48"/>
    </row>
    <row r="21" spans="1:3" x14ac:dyDescent="0.35">
      <c r="A21" s="55" t="s">
        <v>248</v>
      </c>
      <c r="B21" s="53" t="s">
        <v>249</v>
      </c>
      <c r="C21" s="43"/>
    </row>
    <row r="22" spans="1:3" x14ac:dyDescent="0.35">
      <c r="A22" s="44" t="s">
        <v>250</v>
      </c>
      <c r="B22" s="45">
        <v>432000</v>
      </c>
      <c r="C22" s="43" t="s">
        <v>251</v>
      </c>
    </row>
    <row r="23" spans="1:3" x14ac:dyDescent="0.35">
      <c r="A23" s="44" t="s">
        <v>252</v>
      </c>
      <c r="B23" s="45">
        <v>6590375</v>
      </c>
      <c r="C23" s="43" t="s">
        <v>289</v>
      </c>
    </row>
    <row r="24" spans="1:3" x14ac:dyDescent="0.35">
      <c r="A24" s="44"/>
      <c r="B24" s="45"/>
      <c r="C24" s="43" t="s">
        <v>253</v>
      </c>
    </row>
    <row r="25" spans="1:3" x14ac:dyDescent="0.35">
      <c r="A25" s="44" t="s">
        <v>254</v>
      </c>
      <c r="B25" s="56">
        <f>(B22/B23)</f>
        <v>6.5550139407848568E-2</v>
      </c>
      <c r="C25" s="43" t="s">
        <v>255</v>
      </c>
    </row>
    <row r="26" spans="1:3" x14ac:dyDescent="0.35">
      <c r="A26" s="57"/>
      <c r="B26" s="49"/>
      <c r="C26" s="48"/>
    </row>
    <row r="27" spans="1:3" x14ac:dyDescent="0.35">
      <c r="A27" s="41" t="s">
        <v>256</v>
      </c>
      <c r="B27" s="53" t="s">
        <v>257</v>
      </c>
      <c r="C27" s="43" t="s">
        <v>258</v>
      </c>
    </row>
    <row r="28" spans="1:3" x14ac:dyDescent="0.35">
      <c r="A28" s="44" t="s">
        <v>250</v>
      </c>
      <c r="B28" s="45">
        <f>B22</f>
        <v>432000</v>
      </c>
      <c r="C28" s="43" t="s">
        <v>290</v>
      </c>
    </row>
    <row r="29" spans="1:3" x14ac:dyDescent="0.35">
      <c r="A29" s="44" t="s">
        <v>259</v>
      </c>
      <c r="B29" s="45">
        <v>7022375</v>
      </c>
      <c r="C29" s="43" t="s">
        <v>260</v>
      </c>
    </row>
    <row r="30" spans="1:3" x14ac:dyDescent="0.35">
      <c r="A30" s="44" t="s">
        <v>261</v>
      </c>
      <c r="B30" s="56">
        <f>(B28/B29)</f>
        <v>6.1517648943555422E-2</v>
      </c>
      <c r="C30" s="43" t="s">
        <v>262</v>
      </c>
    </row>
    <row r="31" spans="1:3" x14ac:dyDescent="0.35">
      <c r="A31" s="48"/>
      <c r="B31" s="49"/>
      <c r="C31" s="48"/>
    </row>
    <row r="32" spans="1:3" x14ac:dyDescent="0.35">
      <c r="A32" s="41" t="s">
        <v>263</v>
      </c>
      <c r="B32" s="53" t="s">
        <v>264</v>
      </c>
      <c r="C32" s="43" t="s">
        <v>265</v>
      </c>
    </row>
    <row r="33" spans="1:3" x14ac:dyDescent="0.35">
      <c r="A33" s="44" t="s">
        <v>266</v>
      </c>
      <c r="B33" s="45">
        <v>610000</v>
      </c>
      <c r="C33" s="43" t="s">
        <v>291</v>
      </c>
    </row>
    <row r="34" spans="1:3" x14ac:dyDescent="0.35">
      <c r="A34" s="44" t="s">
        <v>259</v>
      </c>
      <c r="B34" s="45">
        <f>B29</f>
        <v>7022375</v>
      </c>
      <c r="C34" s="43" t="s">
        <v>267</v>
      </c>
    </row>
    <row r="35" spans="1:3" x14ac:dyDescent="0.35">
      <c r="A35" s="44" t="s">
        <v>268</v>
      </c>
      <c r="B35" s="58">
        <f>B33/B34</f>
        <v>8.6865198739742605E-2</v>
      </c>
      <c r="C35" s="43" t="s">
        <v>269</v>
      </c>
    </row>
    <row r="36" spans="1:3" x14ac:dyDescent="0.35">
      <c r="A36" s="54"/>
      <c r="B36" s="49"/>
      <c r="C36" s="48"/>
    </row>
    <row r="37" spans="1:3" x14ac:dyDescent="0.35">
      <c r="A37" s="41" t="s">
        <v>270</v>
      </c>
      <c r="B37" s="59" t="s">
        <v>271</v>
      </c>
      <c r="C37" s="43"/>
    </row>
    <row r="38" spans="1:3" x14ac:dyDescent="0.35">
      <c r="A38" s="44" t="s">
        <v>272</v>
      </c>
      <c r="B38" s="45">
        <v>430000</v>
      </c>
      <c r="C38" s="43" t="s">
        <v>273</v>
      </c>
    </row>
    <row r="39" spans="1:3" x14ac:dyDescent="0.35">
      <c r="A39" s="44" t="s">
        <v>274</v>
      </c>
      <c r="B39" s="45">
        <f>245000/2</f>
        <v>122500</v>
      </c>
      <c r="C39" s="43" t="s">
        <v>292</v>
      </c>
    </row>
    <row r="40" spans="1:3" x14ac:dyDescent="0.35">
      <c r="A40" s="44"/>
      <c r="B40" s="45"/>
      <c r="C40" s="46" t="s">
        <v>275</v>
      </c>
    </row>
    <row r="41" spans="1:3" x14ac:dyDescent="0.35">
      <c r="A41" s="44" t="s">
        <v>276</v>
      </c>
      <c r="B41" s="47">
        <f>B38/B39</f>
        <v>3.510204081632653</v>
      </c>
      <c r="C41" s="43" t="s">
        <v>277</v>
      </c>
    </row>
    <row r="42" spans="1:3" x14ac:dyDescent="0.35">
      <c r="A42" s="48"/>
      <c r="B42" s="49"/>
      <c r="C42" s="48"/>
    </row>
    <row r="43" spans="1:3" x14ac:dyDescent="0.35">
      <c r="A43" s="41" t="s">
        <v>278</v>
      </c>
      <c r="B43" s="53" t="s">
        <v>279</v>
      </c>
      <c r="C43" s="43"/>
    </row>
    <row r="44" spans="1:3" x14ac:dyDescent="0.35">
      <c r="A44" s="44" t="s">
        <v>280</v>
      </c>
      <c r="B44" s="45">
        <f>B33</f>
        <v>610000</v>
      </c>
      <c r="C44" s="43" t="s">
        <v>281</v>
      </c>
    </row>
    <row r="45" spans="1:3" x14ac:dyDescent="0.35">
      <c r="A45" s="44" t="s">
        <v>282</v>
      </c>
      <c r="B45" s="45">
        <f>(B4-B5)</f>
        <v>6278000</v>
      </c>
      <c r="C45" s="43" t="s">
        <v>293</v>
      </c>
    </row>
    <row r="46" spans="1:3" x14ac:dyDescent="0.35">
      <c r="A46" s="44"/>
      <c r="B46" s="45"/>
      <c r="C46" s="43" t="s">
        <v>283</v>
      </c>
    </row>
    <row r="47" spans="1:3" x14ac:dyDescent="0.35">
      <c r="A47" s="60" t="s">
        <v>284</v>
      </c>
      <c r="B47" s="61">
        <f>B44/B45</f>
        <v>9.7164702134437717E-2</v>
      </c>
      <c r="C47" s="40" t="s">
        <v>285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 </vt:lpstr>
      <vt:lpstr>Journal</vt:lpstr>
      <vt:lpstr>Ledger</vt:lpstr>
      <vt:lpstr>Trial Balance</vt:lpstr>
      <vt:lpstr>Trading Account</vt:lpstr>
      <vt:lpstr>Profit &amp; Loss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aravindvarun2009@outlook.com</cp:lastModifiedBy>
  <dcterms:created xsi:type="dcterms:W3CDTF">2026-09-08T03:21:29Z</dcterms:created>
  <dcterms:modified xsi:type="dcterms:W3CDTF">2026-09-16T03:30:26Z</dcterms:modified>
</cp:coreProperties>
</file>